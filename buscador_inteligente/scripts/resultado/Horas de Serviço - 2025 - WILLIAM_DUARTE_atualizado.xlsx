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5200" yWindow="-7040" windowWidth="33020" windowHeight="23340" tabRatio="993" firstSheet="0" activeTab="3" autoFilterDateGrouping="1"/>
  </bookViews>
  <sheets>
    <sheet xmlns:r="http://schemas.openxmlformats.org/officeDocument/2006/relationships" name="Sumário" sheetId="1" state="hidden" r:id="rId1"/>
    <sheet xmlns:r="http://schemas.openxmlformats.org/officeDocument/2006/relationships" name="Janeiro - 2025" sheetId="2" state="visible" r:id="rId2"/>
    <sheet xmlns:r="http://schemas.openxmlformats.org/officeDocument/2006/relationships" name="Fevereiro - 2025" sheetId="3" state="visible" r:id="rId3"/>
    <sheet xmlns:r="http://schemas.openxmlformats.org/officeDocument/2006/relationships" name="Março - 2025" sheetId="4" state="visible" r:id="rId4"/>
    <sheet xmlns:r="http://schemas.openxmlformats.org/officeDocument/2006/relationships" name="Abril - 2025" sheetId="5" state="visible" r:id="rId5"/>
    <sheet xmlns:r="http://schemas.openxmlformats.org/officeDocument/2006/relationships" name="Maio - 2025" sheetId="6" state="visible" r:id="rId6"/>
    <sheet xmlns:r="http://schemas.openxmlformats.org/officeDocument/2006/relationships" name="Junho - 2025" sheetId="7" state="visible" r:id="rId7"/>
    <sheet xmlns:r="http://schemas.openxmlformats.org/officeDocument/2006/relationships" name="Julho - 2025" sheetId="8" state="visible" r:id="rId8"/>
    <sheet xmlns:r="http://schemas.openxmlformats.org/officeDocument/2006/relationships" name="Agosto - 2025" sheetId="9" state="visible" r:id="rId9"/>
    <sheet xmlns:r="http://schemas.openxmlformats.org/officeDocument/2006/relationships" name="Setembro - 2025" sheetId="10" state="visible" r:id="rId10"/>
    <sheet xmlns:r="http://schemas.openxmlformats.org/officeDocument/2006/relationships" name="Outubro - 2025" sheetId="11" state="visible" r:id="rId11"/>
    <sheet xmlns:r="http://schemas.openxmlformats.org/officeDocument/2006/relationships" name="Novembro - 2025" sheetId="12" state="visible" r:id="rId12"/>
    <sheet xmlns:r="http://schemas.openxmlformats.org/officeDocument/2006/relationships" name="Dezembro - 2025" sheetId="13" state="visible" r:id="rId13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[$-F400]h:mm:ss\ AM/PM"/>
    <numFmt numFmtId="165" formatCode="dd/mm"/>
    <numFmt numFmtId="166" formatCode="yyyy"/>
  </numFmts>
  <fonts count="16">
    <font>
      <name val="MS Sans Serif"/>
      <family val="2"/>
      <sz val="10"/>
    </font>
    <font>
      <name val="Calibri"/>
      <family val="2"/>
      <color theme="1"/>
      <sz val="11"/>
      <scheme val="minor"/>
    </font>
    <font>
      <name val="Verdana"/>
      <family val="2"/>
      <b val="1"/>
      <sz val="9"/>
    </font>
    <font>
      <name val="Verdana"/>
      <family val="2"/>
      <sz val="9"/>
    </font>
    <font>
      <name val="Verdana"/>
      <family val="2"/>
      <color indexed="12"/>
      <sz val="9"/>
    </font>
    <font>
      <name val="Verdana"/>
      <family val="2"/>
      <color indexed="8"/>
      <sz val="9"/>
    </font>
    <font>
      <name val="Verdana"/>
      <family val="2"/>
      <sz val="9"/>
      <u val="single"/>
    </font>
    <font>
      <name val="Verdana"/>
      <family val="2"/>
      <b val="1"/>
      <color theme="0"/>
      <sz val="9"/>
    </font>
    <font>
      <name val="Verdana"/>
      <family val="2"/>
      <b val="1"/>
      <color theme="0"/>
      <sz val="10"/>
    </font>
    <font>
      <name val="Verdana"/>
      <family val="2"/>
      <color rgb="FF0066FF"/>
      <sz val="9"/>
    </font>
    <font>
      <name val="Verdana"/>
      <family val="2"/>
      <color rgb="FF0066FF"/>
      <sz val="9"/>
      <u val="single"/>
    </font>
    <font>
      <name val="Verdana"/>
      <family val="2"/>
      <b val="1"/>
      <color rgb="FF000000"/>
      <sz val="14"/>
    </font>
    <font>
      <name val="Verdana"/>
      <family val="2"/>
      <b val="1"/>
      <color rgb="FF000000"/>
      <sz val="10"/>
    </font>
    <font>
      <name val="Verdana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sz val="11"/>
      <scheme val="minor"/>
    </font>
  </fonts>
  <fills count="10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31"/>
      </patternFill>
    </fill>
    <fill>
      <patternFill patternType="solid">
        <fgColor theme="2" tint="-0.249977111117893"/>
        <bgColor indexed="31"/>
      </patternFill>
    </fill>
    <fill>
      <patternFill patternType="solid">
        <fgColor theme="5"/>
        <bgColor indexed="31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double">
        <color indexed="22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63"/>
      </left>
      <right style="double">
        <color indexed="22"/>
      </right>
      <top style="hair">
        <color indexed="63"/>
      </top>
      <bottom style="hair">
        <color indexed="63"/>
      </bottom>
      <diagonal/>
    </border>
    <border>
      <left style="medium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3"/>
      </bottom>
      <diagonal/>
    </border>
    <border>
      <left/>
      <right/>
      <top style="medium">
        <color indexed="63"/>
      </top>
      <bottom/>
      <diagonal/>
    </border>
    <border>
      <left/>
      <right/>
      <top style="hair">
        <color indexed="63"/>
      </top>
      <bottom style="hair">
        <color indexed="63"/>
      </bottom>
      <diagonal/>
    </border>
    <border>
      <left style="medium">
        <color indexed="63"/>
      </left>
      <right style="hair">
        <color indexed="63"/>
      </right>
      <top/>
      <bottom style="hair">
        <color indexed="63"/>
      </bottom>
      <diagonal/>
    </border>
    <border>
      <left style="hair">
        <color indexed="63"/>
      </left>
      <right style="double">
        <color indexed="22"/>
      </right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3"/>
      </right>
      <top/>
      <bottom/>
      <diagonal/>
    </border>
    <border>
      <left style="hair">
        <color indexed="63"/>
      </left>
      <right style="hair">
        <color indexed="63"/>
      </right>
      <top/>
      <bottom/>
      <diagonal/>
    </border>
    <border>
      <left style="hair">
        <color indexed="63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3"/>
      </top>
      <bottom/>
      <diagonal/>
    </border>
    <border>
      <left/>
      <right style="hair">
        <color indexed="63"/>
      </right>
      <top style="hair">
        <color indexed="63"/>
      </top>
      <bottom/>
      <diagonal/>
    </border>
    <border>
      <left/>
      <right style="medium">
        <color indexed="63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2" fontId="3" fillId="4" borderId="2" applyAlignment="1" pivotButton="0" quotePrefix="0" xfId="0">
      <alignment horizontal="center" vertical="center"/>
    </xf>
    <xf numFmtId="16" fontId="3" fillId="0" borderId="0" applyAlignment="1" pivotButton="0" quotePrefix="0" xfId="0">
      <alignment horizontal="center" vertical="center"/>
    </xf>
    <xf numFmtId="16" fontId="5" fillId="0" borderId="6" applyAlignment="1" pivotButton="0" quotePrefix="0" xfId="0">
      <alignment horizontal="center" vertical="center"/>
    </xf>
    <xf numFmtId="20" fontId="3" fillId="2" borderId="2" applyAlignment="1" applyProtection="1" pivotButton="0" quotePrefix="0" xfId="0">
      <alignment horizontal="center" vertical="center"/>
      <protection locked="0" hidden="0"/>
    </xf>
    <xf numFmtId="20" fontId="3" fillId="2" borderId="4" applyAlignment="1" applyProtection="1" pivotButton="0" quotePrefix="0" xfId="0">
      <alignment horizontal="center" vertical="center"/>
      <protection locked="0" hidden="0"/>
    </xf>
    <xf numFmtId="164" fontId="3" fillId="0" borderId="0" applyAlignment="1" pivotButton="0" quotePrefix="0" xfId="0">
      <alignment horizontal="center" vertical="center"/>
    </xf>
    <xf numFmtId="20" fontId="3" fillId="0" borderId="2" applyAlignment="1" applyProtection="1" pivotButton="0" quotePrefix="0" xfId="0">
      <alignment horizontal="center" vertical="center"/>
      <protection locked="0" hidden="0"/>
    </xf>
    <xf numFmtId="20" fontId="3" fillId="0" borderId="4" applyAlignment="1" applyProtection="1" pivotButton="0" quotePrefix="0" xfId="0">
      <alignment horizontal="center" vertical="center"/>
      <protection locked="0" hidden="0"/>
    </xf>
    <xf numFmtId="16" fontId="3" fillId="0" borderId="6" applyAlignment="1" pivotButton="0" quotePrefix="0" xfId="0">
      <alignment horizontal="center" vertical="center"/>
    </xf>
    <xf numFmtId="20" fontId="6" fillId="2" borderId="4" applyAlignment="1" applyProtection="1" pivotButton="0" quotePrefix="0" xfId="0">
      <alignment horizontal="center" vertical="center"/>
      <protection locked="0" hidden="0"/>
    </xf>
    <xf numFmtId="20" fontId="3" fillId="0" borderId="0" applyAlignment="1" applyProtection="1" pivotButton="0" quotePrefix="0" xfId="0">
      <alignment horizontal="center" vertical="center"/>
      <protection locked="0" hidden="0"/>
    </xf>
    <xf numFmtId="165" fontId="2" fillId="6" borderId="7" applyAlignment="1" applyProtection="1" pivotButton="0" quotePrefix="0" xfId="0">
      <alignment horizontal="center" vertical="center"/>
      <protection locked="0" hidden="0"/>
    </xf>
    <xf numFmtId="166" fontId="2" fillId="6" borderId="10" applyAlignment="1" pivotButton="0" quotePrefix="0" xfId="0">
      <alignment horizontal="center" vertical="center"/>
    </xf>
    <xf numFmtId="2" fontId="3" fillId="5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" fontId="5" fillId="0" borderId="17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20" fontId="7" fillId="3" borderId="5" applyAlignment="1" pivotButton="0" quotePrefix="0" xfId="0">
      <alignment horizontal="center" vertical="center"/>
    </xf>
    <xf numFmtId="2" fontId="7" fillId="3" borderId="2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0" fontId="2" fillId="0" borderId="19" applyAlignment="1" pivotButton="0" quotePrefix="0" xfId="0">
      <alignment vertical="center"/>
    </xf>
    <xf numFmtId="1" fontId="3" fillId="0" borderId="20" applyAlignment="1" pivotButton="0" quotePrefix="0" xfId="0">
      <alignment horizontal="center" vertical="center"/>
    </xf>
    <xf numFmtId="2" fontId="3" fillId="0" borderId="21" applyAlignment="1" pivotButton="0" quotePrefix="0" xfId="0">
      <alignment horizontal="center" vertical="center"/>
    </xf>
    <xf numFmtId="2" fontId="4" fillId="0" borderId="22" applyAlignment="1" pivotButton="0" quotePrefix="0" xfId="0">
      <alignment horizontal="center" vertical="center"/>
    </xf>
    <xf numFmtId="2" fontId="3" fillId="0" borderId="23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/>
    </xf>
    <xf numFmtId="0" fontId="5" fillId="7" borderId="18" applyAlignment="1" pivotButton="0" quotePrefix="0" xfId="0">
      <alignment horizontal="center" vertical="center"/>
    </xf>
    <xf numFmtId="20" fontId="9" fillId="2" borderId="4" applyAlignment="1" applyProtection="1" pivotButton="0" quotePrefix="0" xfId="0">
      <alignment horizontal="center" vertical="center"/>
      <protection locked="0" hidden="0"/>
    </xf>
    <xf numFmtId="20" fontId="9" fillId="0" borderId="4" applyAlignment="1" applyProtection="1" pivotButton="0" quotePrefix="0" xfId="0">
      <alignment horizontal="center" vertical="center"/>
      <protection locked="0" hidden="0"/>
    </xf>
    <xf numFmtId="20" fontId="10" fillId="2" borderId="4" applyAlignment="1" applyProtection="1" pivotButton="0" quotePrefix="0" xfId="0">
      <alignment horizontal="center" vertical="center"/>
      <protection locked="0" hidden="0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7" fillId="3" borderId="16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12" fillId="8" borderId="28" pivotButton="0" quotePrefix="0" xfId="0"/>
    <xf numFmtId="0" fontId="12" fillId="8" borderId="29" pivotButton="0" quotePrefix="0" xfId="0"/>
    <xf numFmtId="0" fontId="12" fillId="8" borderId="30" pivotButton="0" quotePrefix="0" xfId="0"/>
    <xf numFmtId="0" fontId="12" fillId="8" borderId="31" pivotButton="0" quotePrefix="0" xfId="0"/>
    <xf numFmtId="14" fontId="13" fillId="0" borderId="32" applyAlignment="1" pivotButton="0" quotePrefix="0" xfId="0">
      <alignment horizontal="center" vertical="center"/>
    </xf>
    <xf numFmtId="2" fontId="13" fillId="0" borderId="29" pivotButton="0" quotePrefix="0" xfId="0"/>
    <xf numFmtId="0" fontId="13" fillId="0" borderId="32" applyAlignment="1" pivotButton="0" quotePrefix="0" xfId="0">
      <alignment horizontal="center" vertical="center"/>
    </xf>
    <xf numFmtId="14" fontId="13" fillId="0" borderId="28" applyAlignment="1" pivotButton="0" quotePrefix="0" xfId="0">
      <alignment horizontal="center" vertical="center"/>
    </xf>
    <xf numFmtId="0" fontId="14" fillId="0" borderId="0" pivotButton="0" quotePrefix="0" xfId="0"/>
    <xf numFmtId="0" fontId="13" fillId="0" borderId="0" pivotButton="0" quotePrefix="0" xfId="0"/>
    <xf numFmtId="0" fontId="13" fillId="0" borderId="28" pivotButton="0" quotePrefix="0" xfId="0"/>
    <xf numFmtId="0" fontId="12" fillId="0" borderId="0" pivotButton="0" quotePrefix="0" xfId="0"/>
    <xf numFmtId="20" fontId="6" fillId="0" borderId="4" applyAlignment="1" applyProtection="1" pivotButton="0" quotePrefix="0" xfId="0">
      <alignment horizontal="center" vertical="center"/>
      <protection locked="0" hidden="0"/>
    </xf>
    <xf numFmtId="0" fontId="2" fillId="0" borderId="24" applyAlignment="1" pivotButton="0" quotePrefix="0" xfId="0">
      <alignment vertical="center"/>
    </xf>
    <xf numFmtId="0" fontId="3" fillId="9" borderId="24" applyAlignment="1" pivotButton="0" quotePrefix="0" xfId="0">
      <alignment vertical="center"/>
    </xf>
    <xf numFmtId="0" fontId="3" fillId="9" borderId="25" applyAlignment="1" pivotButton="0" quotePrefix="0" xfId="0">
      <alignment vertical="center"/>
    </xf>
    <xf numFmtId="0" fontId="3" fillId="9" borderId="26" applyAlignment="1" pivotButton="0" quotePrefix="0" xfId="0">
      <alignment vertical="center"/>
    </xf>
    <xf numFmtId="0" fontId="3" fillId="9" borderId="24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0" fontId="15" fillId="0" borderId="19" applyAlignment="1" pivotButton="0" quotePrefix="0" xfId="0">
      <alignment vertical="center"/>
    </xf>
    <xf numFmtId="0" fontId="12" fillId="8" borderId="36" pivotButton="0" quotePrefix="0" xfId="0"/>
    <xf numFmtId="0" fontId="15" fillId="0" borderId="19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3" fillId="6" borderId="8" applyAlignment="1" pivotButton="0" quotePrefix="0" xfId="0">
      <alignment horizontal="center" vertical="center"/>
    </xf>
    <xf numFmtId="165" fontId="2" fillId="6" borderId="9" applyAlignment="1" applyProtection="1" pivotButton="0" quotePrefix="0" xfId="0">
      <alignment horizontal="center" vertical="center"/>
      <protection locked="0" hidden="0"/>
    </xf>
    <xf numFmtId="166" fontId="2" fillId="6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2" fontId="3" fillId="0" borderId="12" applyAlignment="1" pivotButton="0" quotePrefix="0" xfId="0">
      <alignment horizontal="center" vertical="center"/>
    </xf>
    <xf numFmtId="2" fontId="3" fillId="0" borderId="11" applyAlignment="1" pivotButton="0" quotePrefix="0" xfId="0">
      <alignment horizontal="center" vertical="center"/>
    </xf>
    <xf numFmtId="165" fontId="2" fillId="6" borderId="15" applyAlignment="1" applyProtection="1" pivotButton="0" quotePrefix="0" xfId="0">
      <alignment horizontal="center" vertical="center"/>
      <protection locked="0" hidden="0"/>
    </xf>
    <xf numFmtId="166" fontId="2" fillId="6" borderId="14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3" fillId="0" borderId="25" applyAlignment="1" pivotButton="0" quotePrefix="0" xfId="0">
      <alignment horizontal="left" vertical="center"/>
    </xf>
    <xf numFmtId="0" fontId="3" fillId="0" borderId="26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0" fillId="0" borderId="27" pivotButton="0" quotePrefix="0" xfId="0"/>
    <xf numFmtId="165" fontId="2" fillId="6" borderId="7" applyAlignment="1" applyProtection="1" pivotButton="0" quotePrefix="0" xfId="0">
      <alignment horizontal="center" vertical="center"/>
      <protection locked="0" hidden="0"/>
    </xf>
    <xf numFmtId="165" fontId="2" fillId="6" borderId="9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1" pivotButton="0" quotePrefix="0" xfId="0"/>
    <xf numFmtId="166" fontId="2" fillId="6" borderId="10" applyAlignment="1" pivotButton="0" quotePrefix="0" xfId="0">
      <alignment horizontal="center" vertical="center"/>
    </xf>
    <xf numFmtId="0" fontId="0" fillId="0" borderId="14" pivotButton="0" quotePrefix="0" xfId="0"/>
    <xf numFmtId="166" fontId="2" fillId="6" borderId="1" applyAlignment="1" pivotButton="0" quotePrefix="0" xfId="0">
      <alignment horizontal="center" vertical="center"/>
    </xf>
    <xf numFmtId="0" fontId="0" fillId="0" borderId="1" pivotButton="0" quotePrefix="0" xfId="0"/>
    <xf numFmtId="2" fontId="3" fillId="0" borderId="13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19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3" fillId="0" borderId="42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164" fontId="3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dxfs count="42"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bgColor theme="4" tint="0.7999816888943144"/>
        </patternFill>
      </fill>
    </dxf>
    <dxf>
      <fill>
        <patternFill patternType="solid">
          <bgColor theme="4" tint="0.7999816888943144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bgColor theme="4" tint="0.7999816888943144"/>
        </patternFill>
      </fill>
    </dxf>
    <dxf>
      <fill>
        <patternFill patternType="solid">
          <bgColor theme="4" tint="0.7999816888943144"/>
        </patternFill>
      </fill>
    </dxf>
    <dxf>
      <fill>
        <patternFill patternType="solid">
          <bgColor theme="4" tint="0.7999816888943144"/>
        </patternFill>
      </fill>
    </dxf>
    <dxf>
      <fill>
        <patternFill patternType="solid"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7" sqref="A7"/>
    </sheetView>
  </sheetViews>
  <sheetFormatPr baseColWidth="10" defaultColWidth="9.19921875" defaultRowHeight="13"/>
  <cols>
    <col width="28.19921875" customWidth="1" min="1" max="1"/>
    <col width="21.3984375" bestFit="1" customWidth="1" min="2" max="2"/>
    <col width="15.3984375" bestFit="1" customWidth="1" min="3" max="15"/>
  </cols>
  <sheetData>
    <row r="1" ht="12.75" customHeight="1">
      <c r="A1" s="69" t="inlineStr">
        <is>
          <t>CONTROLE HORAS</t>
        </is>
      </c>
    </row>
    <row r="2" ht="12.75" customHeight="1">
      <c r="A2" s="88" t="n"/>
      <c r="B2" s="88" t="n"/>
      <c r="C2" s="88" t="n"/>
      <c r="D2" s="88" t="n"/>
      <c r="E2" s="88" t="n"/>
      <c r="F2" s="88" t="n"/>
      <c r="G2" s="88" t="n"/>
      <c r="H2" s="88" t="n"/>
      <c r="I2" s="88" t="n"/>
      <c r="J2" s="88" t="n"/>
      <c r="K2" s="88" t="n"/>
      <c r="L2" s="88" t="n"/>
      <c r="M2" s="88" t="n"/>
      <c r="N2" s="88" t="n"/>
      <c r="O2" s="88" t="n"/>
    </row>
    <row r="3">
      <c r="A3" s="43" t="inlineStr">
        <is>
          <t>Período:</t>
        </is>
      </c>
      <c r="B3" s="44" t="inlineStr">
        <is>
          <t>Controle</t>
        </is>
      </c>
      <c r="C3" s="44" t="inlineStr">
        <is>
          <t>Horas</t>
        </is>
      </c>
      <c r="D3" s="45" t="inlineStr">
        <is>
          <t>Janeiro</t>
        </is>
      </c>
      <c r="E3" s="46" t="inlineStr">
        <is>
          <t>Fevereiro</t>
        </is>
      </c>
      <c r="F3" s="46" t="inlineStr">
        <is>
          <t>Março</t>
        </is>
      </c>
      <c r="G3" s="46" t="inlineStr">
        <is>
          <t>Abril</t>
        </is>
      </c>
      <c r="H3" s="46" t="inlineStr">
        <is>
          <t>Maio</t>
        </is>
      </c>
      <c r="I3" s="46" t="inlineStr">
        <is>
          <t>Junho</t>
        </is>
      </c>
      <c r="J3" s="46" t="inlineStr">
        <is>
          <t>Julho</t>
        </is>
      </c>
      <c r="K3" s="46" t="inlineStr">
        <is>
          <t>Agosto</t>
        </is>
      </c>
      <c r="L3" s="46" t="inlineStr">
        <is>
          <t>Setembro</t>
        </is>
      </c>
      <c r="M3" s="46" t="inlineStr">
        <is>
          <t>Outubro</t>
        </is>
      </c>
      <c r="N3" s="46" t="inlineStr">
        <is>
          <t>Novembro</t>
        </is>
      </c>
      <c r="O3" s="43" t="inlineStr">
        <is>
          <t>Dezembro</t>
        </is>
      </c>
    </row>
    <row r="4" ht="12.75" customHeight="1">
      <c r="A4" s="47" t="n">
        <v>45658</v>
      </c>
      <c r="B4" s="44" t="inlineStr">
        <is>
          <t xml:space="preserve">Horas úteis: </t>
        </is>
      </c>
      <c r="C4" s="48">
        <f>SUM(D4:O4)</f>
        <v/>
      </c>
      <c r="D4" s="48">
        <f>'Janeiro - 2025'!H5</f>
        <v/>
      </c>
      <c r="E4" s="48">
        <f>'Fevereiro - 2025'!H5</f>
        <v/>
      </c>
      <c r="F4" s="48">
        <f>'Março - 2025'!H5</f>
        <v/>
      </c>
      <c r="G4" s="48">
        <f>'Abril - 2025'!H5</f>
        <v/>
      </c>
      <c r="H4" s="48">
        <f>'Maio - 2025'!H5</f>
        <v/>
      </c>
      <c r="I4" s="48">
        <f>'Junho - 2025'!H5</f>
        <v/>
      </c>
      <c r="J4" s="48">
        <f>'Julho - 2025'!H5</f>
        <v/>
      </c>
      <c r="K4" s="48">
        <f>'Agosto - 2025'!H5</f>
        <v/>
      </c>
      <c r="L4" s="48">
        <f>'Setembro - 2025'!H5</f>
        <v/>
      </c>
      <c r="M4" s="48">
        <f>'Outubro - 2025'!H5</f>
        <v/>
      </c>
      <c r="N4" s="48">
        <f>'Novembro - 2025'!H5</f>
        <v/>
      </c>
      <c r="O4" s="48">
        <f>'Dezembro - 2025'!H5</f>
        <v/>
      </c>
    </row>
    <row r="5">
      <c r="A5" s="49" t="inlineStr">
        <is>
          <t>a</t>
        </is>
      </c>
      <c r="B5" s="44" t="inlineStr">
        <is>
          <t>Horas trabalhadas:</t>
        </is>
      </c>
      <c r="C5" s="48">
        <f>SUM(D5:O5)</f>
        <v/>
      </c>
      <c r="D5" s="48">
        <f>'Janeiro - 2025'!J44</f>
        <v/>
      </c>
      <c r="E5" s="48">
        <f>'Fevereiro - 2025'!J41</f>
        <v/>
      </c>
      <c r="F5" s="48">
        <f>'Março - 2025'!J44</f>
        <v/>
      </c>
      <c r="G5" s="48">
        <f>'Abril - 2025'!J43</f>
        <v/>
      </c>
      <c r="H5" s="48">
        <f>'Maio - 2025'!J44</f>
        <v/>
      </c>
      <c r="I5" s="48">
        <f>'Junho - 2025'!J43</f>
        <v/>
      </c>
      <c r="J5" s="48">
        <f>'Julho - 2025'!J44</f>
        <v/>
      </c>
      <c r="K5" s="48">
        <f>'Agosto - 2025'!J44</f>
        <v/>
      </c>
      <c r="L5" s="48">
        <f>'Setembro - 2025'!J43</f>
        <v/>
      </c>
      <c r="M5" s="48">
        <f>'Outubro - 2025'!J44</f>
        <v/>
      </c>
      <c r="N5" s="48">
        <f>'Novembro - 2025'!J43</f>
        <v/>
      </c>
      <c r="O5" s="48">
        <f>'Dezembro - 2025'!J44</f>
        <v/>
      </c>
    </row>
    <row r="6" ht="12.75" customHeight="1">
      <c r="A6" s="50" t="n">
        <v>46022</v>
      </c>
      <c r="B6" s="51" t="n"/>
      <c r="C6" s="52" t="n"/>
      <c r="D6" s="52" t="n"/>
      <c r="E6" s="52" t="n"/>
      <c r="F6" s="52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</row>
    <row r="7" ht="14" customHeight="1">
      <c r="A7" s="43" t="inlineStr">
        <is>
          <t>Nome:</t>
        </is>
      </c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</row>
    <row r="8" ht="12.75" customHeight="1">
      <c r="A8" s="65" t="inlineStr">
        <is>
          <t>Helbert William Duarte Teixeira</t>
        </is>
      </c>
      <c r="B8" s="51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</row>
    <row r="9" ht="14" customHeight="1">
      <c r="A9" s="43" t="inlineStr">
        <is>
          <t>Regime:</t>
        </is>
      </c>
      <c r="B9" s="51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</row>
    <row r="10" ht="14" customHeight="1">
      <c r="A10" s="53" t="inlineStr">
        <is>
          <t>PJ</t>
        </is>
      </c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2" t="n"/>
    </row>
    <row r="11">
      <c r="A11" s="66" t="inlineStr">
        <is>
          <t>Usuário:</t>
        </is>
      </c>
      <c r="B11" s="54" t="n"/>
      <c r="C11" s="52" t="n"/>
      <c r="D11" s="52" t="n"/>
      <c r="E11" s="54" t="n"/>
      <c r="F11" s="52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</row>
    <row r="12" ht="15" customHeight="1">
      <c r="A12" s="67" t="inlineStr">
        <is>
          <t>william.duarte</t>
        </is>
      </c>
      <c r="B12" s="54" t="n"/>
      <c r="C12" s="52" t="n"/>
      <c r="D12" s="52" t="n"/>
      <c r="E12" s="54" t="n"/>
      <c r="F12" s="52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</row>
    <row r="13" ht="12.75" customHeight="1">
      <c r="A13" s="54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</row>
    <row r="16" ht="12.75" customHeight="1"/>
  </sheetData>
  <mergeCells count="1">
    <mergeCell ref="A1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zoomScaleNormal="100" workbookViewId="0">
      <selection activeCell="C18" sqref="C18:F22"/>
    </sheetView>
  </sheetViews>
  <sheetFormatPr baseColWidth="10" defaultColWidth="9.796875" defaultRowHeight="12"/>
  <cols>
    <col width="9.796875" customWidth="1" style="4" min="1" max="9"/>
    <col width="12" customWidth="1" style="2" min="10" max="10"/>
    <col width="21" customWidth="1" style="4" min="11" max="11"/>
    <col width="9.796875" customWidth="1" style="4" min="12" max="16384"/>
  </cols>
  <sheetData>
    <row r="1" ht="12.75" customHeight="1">
      <c r="A1" s="75" t="inlineStr">
        <is>
          <t>HORAS DE SERVIÇO</t>
        </is>
      </c>
    </row>
    <row r="2" ht="11.25" customHeight="1"/>
    <row r="3" ht="13" customHeight="1" thickBot="1"/>
    <row r="4" ht="13.5" customHeight="1" thickBot="1">
      <c r="A4" s="1" t="inlineStr">
        <is>
          <t>Período:</t>
        </is>
      </c>
      <c r="B4" s="89" t="n">
        <v>45658</v>
      </c>
      <c r="C4" s="72" t="inlineStr">
        <is>
          <t>a</t>
        </is>
      </c>
      <c r="D4" s="90" t="n">
        <v>45688</v>
      </c>
      <c r="E4" s="91" t="n"/>
      <c r="H4" s="32" t="inlineStr">
        <is>
          <t>Total de horas úteis</t>
        </is>
      </c>
      <c r="I4" s="92" t="n"/>
      <c r="J4" s="32" t="inlineStr">
        <is>
          <t>Saldo</t>
        </is>
      </c>
    </row>
    <row r="5" ht="13.5" customHeight="1" thickBot="1">
      <c r="B5" s="93">
        <f>B4</f>
        <v/>
      </c>
      <c r="C5" s="94" t="n"/>
      <c r="D5" s="95">
        <f>D4</f>
        <v/>
      </c>
      <c r="E5" s="96" t="n"/>
      <c r="H5" s="97">
        <f>22*8</f>
        <v/>
      </c>
      <c r="I5" s="92" t="n"/>
      <c r="J5" s="31">
        <f>J44-H5</f>
        <v/>
      </c>
    </row>
    <row r="6">
      <c r="C6" s="6" t="n"/>
      <c r="E6" s="6" t="n"/>
      <c r="H6" s="28" t="n"/>
      <c r="I6" s="29" t="n"/>
      <c r="J6" s="29" t="n"/>
      <c r="K6" s="30" t="n"/>
    </row>
    <row r="7">
      <c r="C7" s="6" t="n"/>
      <c r="E7" s="6" t="n"/>
      <c r="G7" s="25" t="n"/>
      <c r="H7" s="2" t="n"/>
      <c r="I7" s="2" t="n"/>
      <c r="J7" s="26" t="n"/>
    </row>
    <row r="8" ht="18.75" customHeight="1">
      <c r="A8" s="27" t="inlineStr">
        <is>
          <t xml:space="preserve">Nome:  </t>
        </is>
      </c>
      <c r="B8" s="38">
        <f>Sumário!A8</f>
        <v/>
      </c>
      <c r="C8" s="39" t="n"/>
      <c r="D8" s="39" t="n"/>
      <c r="E8" s="39" t="n"/>
      <c r="F8" s="40" t="n"/>
      <c r="G8" s="3" t="n"/>
      <c r="H8" s="3" t="n"/>
      <c r="I8" s="3" t="n"/>
      <c r="J8" s="3" t="n"/>
    </row>
    <row r="9" ht="16.5" customHeight="1">
      <c r="A9" s="27" t="inlineStr">
        <is>
          <t xml:space="preserve">Projeto: </t>
        </is>
      </c>
      <c r="B9" s="60" t="inlineStr">
        <is>
          <t>x</t>
        </is>
      </c>
      <c r="C9" s="58" t="n"/>
      <c r="D9" s="58" t="n"/>
      <c r="E9" s="58" t="n"/>
      <c r="F9" s="59" t="n"/>
      <c r="G9" s="3" t="n"/>
      <c r="H9" s="3" t="n"/>
      <c r="I9" s="3" t="n"/>
      <c r="J9" s="3" t="n"/>
    </row>
    <row r="10">
      <c r="A10" s="1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4" t="n"/>
    </row>
    <row r="11" ht="15" customHeight="1"/>
    <row r="12" ht="18.75" customHeight="1">
      <c r="A12" s="71" t="inlineStr">
        <is>
          <t>Dia</t>
        </is>
      </c>
      <c r="B12" s="98" t="n"/>
      <c r="C12" s="71" t="inlineStr">
        <is>
          <t>Entr.</t>
        </is>
      </c>
      <c r="D12" s="21" t="inlineStr">
        <is>
          <t>Saída</t>
        </is>
      </c>
      <c r="E12" s="22" t="inlineStr">
        <is>
          <t>Entr.</t>
        </is>
      </c>
      <c r="F12" s="23" t="inlineStr">
        <is>
          <t>Saída</t>
        </is>
      </c>
      <c r="G12" s="71" t="inlineStr">
        <is>
          <t>Entr.</t>
        </is>
      </c>
      <c r="H12" s="21" t="inlineStr">
        <is>
          <t>Saída</t>
        </is>
      </c>
      <c r="I12" s="70" t="n"/>
      <c r="J12" s="24" t="inlineStr">
        <is>
          <t>Geral</t>
        </is>
      </c>
      <c r="K12" s="24" t="inlineStr">
        <is>
          <t>Observações</t>
        </is>
      </c>
    </row>
    <row r="13">
      <c r="A13" s="20">
        <f>B4</f>
        <v/>
      </c>
      <c r="B13" s="34">
        <f>IF(A13=0,0,MID("DOMSegTerQuaQuiSexSAB",3*WEEKDAY(A13)-2,3))</f>
        <v/>
      </c>
      <c r="C13" s="8" t="n"/>
      <c r="D13" s="8" t="n"/>
      <c r="E13" s="9" t="n"/>
      <c r="F13" s="9" t="n"/>
      <c r="G13" s="9" t="n"/>
      <c r="H13" s="9" t="n"/>
      <c r="I13" s="8" t="n"/>
      <c r="J13" s="5">
        <f>(D13-C13+F13-E13+H13-G13)*24</f>
        <v/>
      </c>
      <c r="K13" s="35" t="n"/>
    </row>
    <row r="14">
      <c r="A14" s="7">
        <f>IF(A13&gt;=$D$4,0,IF(A13=0,0,1+A13))</f>
        <v/>
      </c>
      <c r="B14" s="62">
        <f>IF(A14=0,0,MID("DOMSegTerQuaQuiSexSAB",3*WEEKDAY(A14)-2,3))</f>
        <v/>
      </c>
      <c r="C14" s="8" t="n"/>
      <c r="D14" s="8" t="n"/>
      <c r="E14" s="9" t="n"/>
      <c r="F14" s="9" t="n"/>
      <c r="G14" s="9" t="n"/>
      <c r="H14" s="9" t="n"/>
      <c r="I14" s="8" t="n"/>
      <c r="J14" s="5">
        <f>(D14-C14+F14-E14+H14-G14)*24</f>
        <v/>
      </c>
      <c r="K14" s="35" t="inlineStr">
        <is>
          <t>Banco</t>
        </is>
      </c>
    </row>
    <row r="15">
      <c r="A15" s="7">
        <f>IF(A14&gt;=$D$4,0,IF(A14=0,0,1+A14))</f>
        <v/>
      </c>
      <c r="B15" s="62">
        <f>IF(A15=0,0,MID("DOMSegTerQuaQuiSexSAB",3*WEEKDAY(A15)-2,3))</f>
        <v/>
      </c>
      <c r="C15" s="8" t="n"/>
      <c r="D15" s="8" t="n"/>
      <c r="E15" s="9" t="n"/>
      <c r="F15" s="9" t="n"/>
      <c r="G15" s="9" t="n"/>
      <c r="H15" s="9" t="n"/>
      <c r="I15" s="8" t="n"/>
      <c r="J15" s="5">
        <f>(D15-C15+F15-E15+H15-G15)*24</f>
        <v/>
      </c>
      <c r="K15" s="35" t="inlineStr">
        <is>
          <t>Banco</t>
        </is>
      </c>
    </row>
    <row r="16">
      <c r="A16" s="7">
        <f>IF(A15&gt;=$D$4,0,IF(A15=0,0,1+A15))</f>
        <v/>
      </c>
      <c r="B16" s="62">
        <f>IF(A16=0,0,MID("DOMSegTerQuaQuiSexSAB",3*WEEKDAY(A16)-2,3))</f>
        <v/>
      </c>
      <c r="C16" s="8" t="n"/>
      <c r="D16" s="8" t="n"/>
      <c r="E16" s="9" t="n"/>
      <c r="F16" s="9" t="n"/>
      <c r="G16" s="9" t="n"/>
      <c r="H16" s="9" t="n"/>
      <c r="I16" s="8" t="n"/>
      <c r="J16" s="5">
        <f>(D16-C16+F16-E16+H16-G16)*24</f>
        <v/>
      </c>
      <c r="K16" s="35" t="n"/>
    </row>
    <row r="17">
      <c r="A17" s="7">
        <f>IF(A16&gt;=$D$4,0,IF(A16=0,0,1+A16))</f>
        <v/>
      </c>
      <c r="B17" s="62">
        <f>IF(A17=0,0,MID("DOMSegTerQuaQuiSexSAB",3*WEEKDAY(A17)-2,3))</f>
        <v/>
      </c>
      <c r="C17" s="8" t="n"/>
      <c r="D17" s="8" t="n"/>
      <c r="E17" s="9" t="n"/>
      <c r="F17" s="9" t="n"/>
      <c r="G17" s="9" t="n"/>
      <c r="H17" s="9" t="n"/>
      <c r="I17" s="8" t="n"/>
      <c r="J17" s="5">
        <f>(D17-C17+F17-E17+H17-G17)*24</f>
        <v/>
      </c>
      <c r="K17" s="35" t="n"/>
    </row>
    <row r="18">
      <c r="A18" s="7">
        <f>IF(A17&gt;=$D$4,0,IF(A17=0,0,1+A17))</f>
        <v/>
      </c>
      <c r="B18" s="62">
        <f>IF(A18=0,0,MID("DOMSegTerQuaQuiSexSAB",3*WEEKDAY(A18)-2,3))</f>
        <v/>
      </c>
      <c r="C18" s="8" t="n">
        <v>0.3333333333333333</v>
      </c>
      <c r="D18" s="8" t="n">
        <v>0.5</v>
      </c>
      <c r="E18" s="9" t="n">
        <v>0.5416666666666666</v>
      </c>
      <c r="F18" s="9" t="n">
        <v>0.7083333333333334</v>
      </c>
      <c r="G18" s="9" t="n"/>
      <c r="H18" s="9" t="n"/>
      <c r="I18" s="8" t="n"/>
      <c r="J18" s="5">
        <f>(D18-C18+F18-E18+H18-G18)*24</f>
        <v/>
      </c>
      <c r="K18" s="35" t="n"/>
    </row>
    <row r="19">
      <c r="A19" s="7">
        <f>IF(A18&gt;=$D$4,0,IF(A18=0,0,1+A18))</f>
        <v/>
      </c>
      <c r="B19" s="61">
        <f>IF(A19=0,0,MID("DOMSegTerQuaQuiSexSAB",3*WEEKDAY(A19)-2,3))</f>
        <v/>
      </c>
      <c r="C19" s="8" t="n">
        <v>0.3333333333333333</v>
      </c>
      <c r="D19" s="8" t="n">
        <v>0.5</v>
      </c>
      <c r="E19" s="9" t="n">
        <v>0.5416666666666666</v>
      </c>
      <c r="F19" s="9" t="n">
        <v>0.7083333333333334</v>
      </c>
      <c r="G19" s="12" t="n"/>
      <c r="H19" s="12" t="n"/>
      <c r="I19" s="11" t="n"/>
      <c r="J19" s="5">
        <f>(D19-C19+F19-E19+H19-G19)*24</f>
        <v/>
      </c>
      <c r="K19" s="36" t="n"/>
    </row>
    <row r="20">
      <c r="A20" s="7">
        <f>IF(A19&gt;=$D$4,0,IF(A19=0,0,1+A19))</f>
        <v/>
      </c>
      <c r="B20" s="61">
        <f>IF(A20=0,0,MID("DOMSegTerQuaQuiSexSAB",3*WEEKDAY(A20)-2,3))</f>
        <v/>
      </c>
      <c r="C20" s="8" t="n">
        <v>0.3333333333333333</v>
      </c>
      <c r="D20" s="8" t="n">
        <v>0.5</v>
      </c>
      <c r="E20" s="9" t="n">
        <v>0.5416666666666666</v>
      </c>
      <c r="F20" s="9" t="n">
        <v>0.7083333333333334</v>
      </c>
      <c r="G20" s="9" t="n"/>
      <c r="H20" s="9" t="n"/>
      <c r="I20" s="8" t="n"/>
      <c r="J20" s="5">
        <f>(D20-C20+F20-E20+H20-G20)*24</f>
        <v/>
      </c>
      <c r="K20" s="35" t="n"/>
    </row>
    <row r="21">
      <c r="A21" s="7">
        <f>IF(A20&gt;=$D$4,0,IF(A20=0,0,1+A20))</f>
        <v/>
      </c>
      <c r="B21" s="62">
        <f>IF(A21=0,0,MID("DOMSegTerQuaQuiSexSAB",3*WEEKDAY(A21)-2,3))</f>
        <v/>
      </c>
      <c r="C21" s="8" t="n">
        <v>0.3333333333333333</v>
      </c>
      <c r="D21" s="8" t="n">
        <v>0.5</v>
      </c>
      <c r="E21" s="9" t="n">
        <v>0.5416666666666666</v>
      </c>
      <c r="F21" s="9" t="n">
        <v>0.7083333333333334</v>
      </c>
      <c r="G21" s="9" t="n"/>
      <c r="H21" s="9" t="n"/>
      <c r="I21" s="8" t="n"/>
      <c r="J21" s="5">
        <f>(D21-C21+F21-E21+H21-G21)*24</f>
        <v/>
      </c>
      <c r="K21" s="35" t="n"/>
    </row>
    <row r="22">
      <c r="A22" s="7">
        <f>IF(A21&gt;=$D$4,0,IF(A21=0,0,1+A21))</f>
        <v/>
      </c>
      <c r="B22" s="62">
        <f>IF(A22=0,0,MID("DOMSegTerQuaQuiSexSAB",3*WEEKDAY(A22)-2,3))</f>
        <v/>
      </c>
      <c r="C22" s="8" t="n">
        <v>0.3333333333333333</v>
      </c>
      <c r="D22" s="8" t="n">
        <v>0.5</v>
      </c>
      <c r="E22" s="9" t="n">
        <v>0.5416666666666666</v>
      </c>
      <c r="F22" s="9" t="n">
        <v>0.7083333333333334</v>
      </c>
      <c r="G22" s="9" t="n"/>
      <c r="H22" s="9" t="n"/>
      <c r="I22" s="8" t="n"/>
      <c r="J22" s="5">
        <f>(D22-C22+F22-E22+H22-G22)*24</f>
        <v/>
      </c>
      <c r="K22" s="35" t="n"/>
    </row>
    <row r="23">
      <c r="A23" s="7">
        <f>IF(A22&gt;=$D$4,0,IF(A22=0,0,1+A22))</f>
        <v/>
      </c>
      <c r="B23" s="62">
        <f>IF(A23=0,0,MID("DOMSegTerQuaQuiSexSAB",3*WEEKDAY(A23)-2,3))</f>
        <v/>
      </c>
      <c r="C23" s="8" t="n"/>
      <c r="D23" s="8" t="n"/>
      <c r="E23" s="9" t="n"/>
      <c r="F23" s="9" t="n"/>
      <c r="G23" s="9" t="n"/>
      <c r="H23" s="9" t="n"/>
      <c r="I23" s="8" t="n"/>
      <c r="J23" s="5">
        <f>(D23-C23+F23-E23+H23-G23)*24</f>
        <v/>
      </c>
      <c r="K23" s="35" t="n"/>
    </row>
    <row r="24">
      <c r="A24" s="13">
        <f>IF(A23&gt;=$D$4,0,IF(A23=0,0,1+A23))</f>
        <v/>
      </c>
      <c r="B24" s="63">
        <f>IF(A24=0,0,MID("DOMSegTerQuaQuiSexSAB",3*WEEKDAY(A24)-2,3))</f>
        <v/>
      </c>
      <c r="C24" s="8" t="n"/>
      <c r="D24" s="8" t="n"/>
      <c r="E24" s="9" t="n"/>
      <c r="F24" s="9" t="n"/>
      <c r="G24" s="9" t="n"/>
      <c r="H24" s="9" t="n"/>
      <c r="I24" s="8" t="n"/>
      <c r="J24" s="5">
        <f>(D24-C24+F24-E24+H24-G24)*24</f>
        <v/>
      </c>
      <c r="K24" s="35" t="n"/>
    </row>
    <row r="25">
      <c r="A25" s="13">
        <f>IF(A24&gt;=$D$4,0,IF(A24=0,0,1+A24))</f>
        <v/>
      </c>
      <c r="B25" s="63">
        <f>IF(A25=0,0,MID("DOMSegTerQuaQuiSexSAB",3*WEEKDAY(A25)-2,3))</f>
        <v/>
      </c>
      <c r="C25" s="8" t="n">
        <v>0.3333333333333333</v>
      </c>
      <c r="D25" s="8" t="n">
        <v>0.5</v>
      </c>
      <c r="E25" s="9" t="n">
        <v>0.5416666666666666</v>
      </c>
      <c r="F25" s="9" t="n">
        <v>0.7083333333333334</v>
      </c>
      <c r="G25" s="9" t="n"/>
      <c r="H25" s="9" t="n"/>
      <c r="I25" s="8" t="n"/>
      <c r="J25" s="5">
        <f>(D25-C25+F25-E25+H25-G25)*24</f>
        <v/>
      </c>
      <c r="K25" s="35" t="n"/>
    </row>
    <row r="26">
      <c r="A26" s="7">
        <f>IF(A25&gt;=$D$4,0,IF(A25=0,0,1+A25))</f>
        <v/>
      </c>
      <c r="B26" s="61">
        <f>IF(A26=0,0,MID("DOMSegTerQuaQuiSexSAB",3*WEEKDAY(A26)-2,3))</f>
        <v/>
      </c>
      <c r="C26" s="8" t="n">
        <v>0.3333333333333333</v>
      </c>
      <c r="D26" s="8" t="n">
        <v>0.5</v>
      </c>
      <c r="E26" s="9" t="n">
        <v>0.5416666666666666</v>
      </c>
      <c r="F26" s="9" t="n">
        <v>0.7083333333333334</v>
      </c>
      <c r="G26" s="9" t="n"/>
      <c r="H26" s="9" t="n"/>
      <c r="I26" s="8" t="n"/>
      <c r="J26" s="5">
        <f>(D26-C26+F26-E26+H26-G26)*24</f>
        <v/>
      </c>
      <c r="K26" s="35" t="n"/>
    </row>
    <row r="27">
      <c r="A27" s="7">
        <f>IF(A26&gt;=$D$4,0,IF(A26=0,0,1+A26))</f>
        <v/>
      </c>
      <c r="B27" s="61">
        <f>IF(A27=0,0,MID("DOMSegTerQuaQuiSexSAB",3*WEEKDAY(A27)-2,3))</f>
        <v/>
      </c>
      <c r="C27" s="8" t="n">
        <v>0.3333333333333333</v>
      </c>
      <c r="D27" s="8" t="n">
        <v>0.5</v>
      </c>
      <c r="E27" s="9" t="n">
        <v>0.5416666666666666</v>
      </c>
      <c r="F27" s="9" t="n">
        <v>0.7083333333333334</v>
      </c>
      <c r="G27" s="14" t="n"/>
      <c r="H27" s="9" t="n"/>
      <c r="I27" s="8" t="n"/>
      <c r="J27" s="5">
        <f>(D27-C27+F27-E27+H27-G27)*24</f>
        <v/>
      </c>
      <c r="K27" s="37" t="n"/>
    </row>
    <row r="28">
      <c r="A28" s="7">
        <f>IF(A27&gt;=$D$4,0,IF(A27=0,0,1+A27))</f>
        <v/>
      </c>
      <c r="B28" s="62">
        <f>IF(A28=0,0,MID("DOMSegTerQuaQuiSexSAB",3*WEEKDAY(A28)-2,3))</f>
        <v/>
      </c>
      <c r="C28" s="8" t="n">
        <v>0.3333333333333333</v>
      </c>
      <c r="D28" s="8" t="n">
        <v>0.5</v>
      </c>
      <c r="E28" s="9" t="n">
        <v>0.5416666666666666</v>
      </c>
      <c r="F28" s="9" t="n">
        <v>0.7083333333333334</v>
      </c>
      <c r="G28" s="9" t="n"/>
      <c r="H28" s="9" t="n"/>
      <c r="I28" s="8" t="n"/>
      <c r="J28" s="5">
        <f>(D28-C28+F28-E28+H28-G28)*24</f>
        <v/>
      </c>
      <c r="K28" s="35" t="n"/>
    </row>
    <row r="29">
      <c r="A29" s="7">
        <f>IF(A28&gt;=$D$4,0,IF(A28=0,0,1+A28))</f>
        <v/>
      </c>
      <c r="B29" s="62">
        <f>IF(A29=0,0,MID("DOMSegTerQuaQuiSexSAB",3*WEEKDAY(A29)-2,3))</f>
        <v/>
      </c>
      <c r="C29" s="8" t="n">
        <v>0.3333333333333333</v>
      </c>
      <c r="D29" s="8" t="n">
        <v>0.5</v>
      </c>
      <c r="E29" s="9" t="n">
        <v>0.5416666666666666</v>
      </c>
      <c r="F29" s="9" t="n">
        <v>0.7083333333333334</v>
      </c>
      <c r="G29" s="9" t="n"/>
      <c r="H29" s="9" t="n"/>
      <c r="I29" s="8" t="n"/>
      <c r="J29" s="5">
        <f>(D29-C29+F29-E29+H29-G29)*24</f>
        <v/>
      </c>
      <c r="K29" s="35" t="n"/>
    </row>
    <row r="30">
      <c r="A30" s="7">
        <f>IF(A29&gt;=$D$4,0,IF(A29=0,0,1+A29))</f>
        <v/>
      </c>
      <c r="B30" s="62">
        <f>IF(A30=0,0,MID("DOMSegTerQuaQuiSexSAB",3*WEEKDAY(A30)-2,3))</f>
        <v/>
      </c>
      <c r="C30" s="8" t="n"/>
      <c r="D30" s="8" t="n"/>
      <c r="E30" s="9" t="n"/>
      <c r="F30" s="9" t="n"/>
      <c r="G30" s="9" t="n"/>
      <c r="H30" s="9" t="n"/>
      <c r="I30" s="8" t="n"/>
      <c r="J30" s="5">
        <f>(D30-C30+F30-E30+H30-G30)*24</f>
        <v/>
      </c>
      <c r="K30" s="35" t="n"/>
    </row>
    <row r="31">
      <c r="A31" s="7">
        <f>IF(A30&gt;=$D$4,0,IF(A30=0,0,1+A30))</f>
        <v/>
      </c>
      <c r="B31" s="62">
        <f>IF(A31=0,0,MID("DOMSegTerQuaQuiSexSAB",3*WEEKDAY(A31)-2,3))</f>
        <v/>
      </c>
      <c r="C31" s="8" t="n"/>
      <c r="D31" s="8" t="n"/>
      <c r="E31" s="9" t="n"/>
      <c r="F31" s="9" t="n"/>
      <c r="G31" s="9" t="n"/>
      <c r="H31" s="9" t="n"/>
      <c r="I31" s="8" t="n"/>
      <c r="J31" s="5">
        <f>(D31-C31+F31-E31+H31-G31)*24</f>
        <v/>
      </c>
      <c r="K31" s="35" t="n"/>
    </row>
    <row r="32">
      <c r="A32" s="7">
        <f>IF(A31&gt;=$D$4,0,IF(A31=0,0,1+A31))</f>
        <v/>
      </c>
      <c r="B32" s="62">
        <f>IF(A32=0,0,MID("DOMSegTerQuaQuiSexSAB",3*WEEKDAY(A32)-2,3))</f>
        <v/>
      </c>
      <c r="C32" s="8" t="n">
        <v>0.3333333333333333</v>
      </c>
      <c r="D32" s="8" t="n">
        <v>0.5</v>
      </c>
      <c r="E32" s="9" t="n">
        <v>0.5416666666666666</v>
      </c>
      <c r="F32" s="9" t="n">
        <v>0.7083333333333334</v>
      </c>
      <c r="G32" s="9" t="n"/>
      <c r="H32" s="9" t="n"/>
      <c r="I32" s="8" t="n"/>
      <c r="J32" s="5">
        <f>(D32-C32+F32-E32+H32-G32)*24</f>
        <v/>
      </c>
      <c r="K32" s="35" t="n"/>
    </row>
    <row r="33">
      <c r="A33" s="7">
        <f>IF(A32&gt;=$D$4,0,IF(A32=0,0,1+A32))</f>
        <v/>
      </c>
      <c r="B33" s="61">
        <f>IF(A33=0,0,MID("DOMSegTerQuaQuiSexSAB",3*WEEKDAY(A33)-2,3))</f>
        <v/>
      </c>
      <c r="C33" s="8" t="n">
        <v>0.3333333333333333</v>
      </c>
      <c r="D33" s="8" t="n">
        <v>0.5</v>
      </c>
      <c r="E33" s="9" t="n">
        <v>0.5416666666666666</v>
      </c>
      <c r="F33" s="9" t="n">
        <v>0.7083333333333334</v>
      </c>
      <c r="G33" s="9" t="n"/>
      <c r="H33" s="9" t="n"/>
      <c r="I33" s="8" t="n"/>
      <c r="J33" s="5">
        <f>(D33-C33+F33-E33+H33-G33)*24</f>
        <v/>
      </c>
      <c r="K33" s="35" t="n"/>
    </row>
    <row r="34">
      <c r="A34" s="7">
        <f>IF(A33&gt;=$D$4,0,IF(A33=0,0,1+A33))</f>
        <v/>
      </c>
      <c r="B34" s="61">
        <f>IF(A34=0,0,MID("DOMSegTerQuaQuiSexSAB",3*WEEKDAY(A34)-2,3))</f>
        <v/>
      </c>
      <c r="C34" s="8" t="n">
        <v>0.3333333333333333</v>
      </c>
      <c r="D34" s="8" t="n">
        <v>0.5</v>
      </c>
      <c r="E34" s="9" t="n">
        <v>0.5416666666666666</v>
      </c>
      <c r="F34" s="9" t="n">
        <v>0.7083333333333334</v>
      </c>
      <c r="G34" s="9" t="n"/>
      <c r="H34" s="9" t="n"/>
      <c r="I34" s="8" t="n"/>
      <c r="J34" s="5">
        <f>(D34-C34+F34-E34+H34-G34)*24</f>
        <v/>
      </c>
      <c r="K34" s="35" t="n"/>
    </row>
    <row r="35">
      <c r="A35" s="7">
        <f>IF(A34&gt;=$D$4,0,IF(A34=0,0,1+A34))</f>
        <v/>
      </c>
      <c r="B35" s="62">
        <f>IF(A35=0,0,MID("DOMSegTerQuaQuiSexSAB",3*WEEKDAY(A35)-2,3))</f>
        <v/>
      </c>
      <c r="C35" s="8" t="n">
        <v>0.3333333333333333</v>
      </c>
      <c r="D35" s="8" t="n">
        <v>0.5</v>
      </c>
      <c r="E35" s="9" t="n">
        <v>0.5416666666666666</v>
      </c>
      <c r="F35" s="9" t="n">
        <v>0.7083333333333334</v>
      </c>
      <c r="G35" s="9" t="n"/>
      <c r="H35" s="9" t="n"/>
      <c r="I35" s="8" t="n"/>
      <c r="J35" s="5">
        <f>(D35-C35+F35-E35+H35-G35)*24</f>
        <v/>
      </c>
      <c r="K35" s="35" t="n"/>
    </row>
    <row r="36">
      <c r="A36" s="7">
        <f>IF(A35&gt;=$D$4,0,IF(A35=0,0,1+A35))</f>
        <v/>
      </c>
      <c r="B36" s="62">
        <f>IF(A36=0,0,MID("DOMSegTerQuaQuiSexSAB",3*WEEKDAY(A36)-2,3))</f>
        <v/>
      </c>
      <c r="C36" s="8" t="n"/>
      <c r="D36" s="8" t="n"/>
      <c r="E36" s="9" t="n"/>
      <c r="F36" s="9" t="n"/>
      <c r="G36" s="9" t="n"/>
      <c r="H36" s="9" t="n"/>
      <c r="I36" s="8" t="n"/>
      <c r="J36" s="5">
        <f>(D36-C36+F36-E36+H36-G36)*24</f>
        <v/>
      </c>
      <c r="K36" s="35" t="n"/>
    </row>
    <row r="37">
      <c r="A37" s="7">
        <f>IF(A36&gt;=$D$4,0,IF(A36=0,0,1+A36))</f>
        <v/>
      </c>
      <c r="B37" s="62">
        <f>IF(A37=0,0,MID("DOMSegTerQuaQuiSexSAB",3*WEEKDAY(A37)-2,3))</f>
        <v/>
      </c>
      <c r="C37" s="8" t="n"/>
      <c r="D37" s="8" t="n"/>
      <c r="E37" s="9" t="n"/>
      <c r="F37" s="9" t="n"/>
      <c r="G37" s="9" t="n"/>
      <c r="H37" s="9" t="n"/>
      <c r="I37" s="8" t="n"/>
      <c r="J37" s="5">
        <f>(D37-C37+F37-E37+H37-G37)*24</f>
        <v/>
      </c>
      <c r="K37" s="35" t="n"/>
    </row>
    <row r="38">
      <c r="A38" s="7">
        <f>IF(A37&gt;=$D$4,0,IF(A37=0,0,1+A37))</f>
        <v/>
      </c>
      <c r="B38" s="62">
        <f>IF(A38=0,0,MID("DOMSegTerQuaQuiSexSAB",3*WEEKDAY(A38)-2,3))</f>
        <v/>
      </c>
      <c r="C38" s="8" t="n"/>
      <c r="D38" s="8" t="n"/>
      <c r="E38" s="9" t="n"/>
      <c r="F38" s="9" t="n"/>
      <c r="G38" s="9" t="n"/>
      <c r="H38" s="9" t="n"/>
      <c r="I38" s="8" t="n"/>
      <c r="J38" s="5">
        <f>(D38-C38+F38-E38+H38-G38)*24</f>
        <v/>
      </c>
      <c r="K38" s="35" t="n"/>
    </row>
    <row r="39">
      <c r="A39" s="7">
        <f>IF(A38&gt;=$D$4,0,IF(A38=0,0,1+A38))</f>
        <v/>
      </c>
      <c r="B39" s="62">
        <f>IF(A39=0,0,MID("DOMSegTerQuaQuiSexSAB",3*WEEKDAY(A39)-2,3))</f>
        <v/>
      </c>
      <c r="C39" s="8" t="n">
        <v>0.3333333333333333</v>
      </c>
      <c r="D39" s="8" t="n">
        <v>0.5</v>
      </c>
      <c r="E39" s="9" t="n">
        <v>0.5416666666666666</v>
      </c>
      <c r="F39" s="9" t="n">
        <v>0.7083333333333334</v>
      </c>
      <c r="G39" s="9" t="n"/>
      <c r="H39" s="9" t="n"/>
      <c r="I39" s="8" t="n"/>
      <c r="J39" s="5">
        <f>(D39-C39+F39-E39+H39-G39)*24</f>
        <v/>
      </c>
      <c r="K39" s="35" t="n"/>
    </row>
    <row r="40">
      <c r="A40" s="7">
        <f>IF(A39&gt;=$D$4,0,IF(A39=0,0,1+A39))</f>
        <v/>
      </c>
      <c r="B40" s="62">
        <f>IF(A40=0,0,MID("DOMSegTerQuaQuiSexSAB",3*WEEKDAY(A40)-2,3))</f>
        <v/>
      </c>
      <c r="C40" s="8" t="n">
        <v>0.3333333333333333</v>
      </c>
      <c r="D40" s="8" t="n">
        <v>0.5</v>
      </c>
      <c r="E40" s="9" t="n">
        <v>0.5416666666666666</v>
      </c>
      <c r="F40" s="9" t="n">
        <v>0.7083333333333334</v>
      </c>
      <c r="G40" s="9" t="n"/>
      <c r="H40" s="9" t="n"/>
      <c r="I40" s="8" t="n"/>
      <c r="J40" s="5">
        <f>(D40-C40+F40-E40+H40-G40)*24</f>
        <v/>
      </c>
      <c r="K40" s="35" t="n"/>
    </row>
    <row r="41">
      <c r="A41" s="7">
        <f>IF(A40&gt;=$D$4,0,IF(A40=0,0,1+A40))</f>
        <v/>
      </c>
      <c r="B41" s="62">
        <f>IF(A41=0,0,MID("DOMSegTerQuaQuiSexSAB",3*WEEKDAY(A41)-2,3))</f>
        <v/>
      </c>
      <c r="C41" s="8" t="n">
        <v>0.3333333333333333</v>
      </c>
      <c r="D41" s="8" t="n">
        <v>0.5</v>
      </c>
      <c r="E41" s="9" t="n">
        <v>0.5416666666666666</v>
      </c>
      <c r="F41" s="9" t="n">
        <v>0.7083333333333334</v>
      </c>
      <c r="G41" s="9" t="n"/>
      <c r="H41" s="9" t="n"/>
      <c r="I41" s="8" t="n"/>
      <c r="J41" s="5">
        <f>(D41-C41+F41-E41+H41-G41)*24</f>
        <v/>
      </c>
      <c r="K41" s="35" t="n"/>
    </row>
    <row r="42">
      <c r="A42" s="7">
        <f>IF(A41&gt;=$D$4,0,IF(A41=0,0,1+A41))</f>
        <v/>
      </c>
      <c r="B42" s="62">
        <f>IF(A42=0,0,MID("DOMSegTerQuaQuiSexSAB",3*WEEKDAY(A42)-2,3))</f>
        <v/>
      </c>
      <c r="C42" s="8" t="n">
        <v>0.3333333333333333</v>
      </c>
      <c r="D42" s="8" t="n">
        <v>0.5</v>
      </c>
      <c r="E42" s="9" t="n">
        <v>0.5416666666666666</v>
      </c>
      <c r="F42" s="9" t="n">
        <v>0.7083333333333334</v>
      </c>
      <c r="G42" s="9" t="n"/>
      <c r="H42" s="9" t="n"/>
      <c r="I42" s="8" t="n"/>
      <c r="J42" s="5">
        <f>(D42-C42+F42-E42+H42-G42)*24</f>
        <v/>
      </c>
      <c r="K42" s="35" t="n"/>
    </row>
    <row r="43" ht="13" customHeight="1" thickBot="1">
      <c r="A43" s="7">
        <f>IF(A42&gt;=$D$4,0,IF(A42=0,0,1+A42))</f>
        <v/>
      </c>
      <c r="B43" s="62">
        <f>IF(A43=0,0,MID("DOMSegTerQuaQuiSexSAB",3*WEEKDAY(A43)-2,3))</f>
        <v/>
      </c>
      <c r="C43" s="8" t="n">
        <v>0.3333333333333333</v>
      </c>
      <c r="D43" s="8" t="n">
        <v>0.5</v>
      </c>
      <c r="E43" s="9" t="n">
        <v>0.5416666666666666</v>
      </c>
      <c r="F43" s="9" t="n">
        <v>0.7083333333333334</v>
      </c>
      <c r="G43" s="9" t="n"/>
      <c r="H43" s="9" t="n"/>
      <c r="I43" s="8" t="n"/>
      <c r="J43" s="5">
        <f>(D43-C43+F43-E43+H43-G43)*24</f>
        <v/>
      </c>
      <c r="K43" s="35" t="n"/>
    </row>
    <row r="44" ht="15" customHeight="1" thickBot="1">
      <c r="C44" s="15" t="n"/>
      <c r="D44" s="15" t="n"/>
      <c r="E44" s="15" t="n"/>
      <c r="F44" s="15" t="n"/>
      <c r="G44" s="15" t="n"/>
      <c r="H44" s="15" t="n"/>
      <c r="I44" s="15" t="n"/>
      <c r="J44" s="18">
        <f>SUM(J$13:J$43)</f>
        <v/>
      </c>
    </row>
    <row r="45" ht="13.25" customHeight="1">
      <c r="C45" s="15" t="n"/>
      <c r="D45" s="15" t="n"/>
      <c r="E45" s="15" t="n"/>
      <c r="F45" s="15" t="n"/>
      <c r="G45" s="15" t="n"/>
      <c r="H45" s="15" t="n"/>
      <c r="I45" s="15" t="n"/>
    </row>
  </sheetData>
  <mergeCells count="7">
    <mergeCell ref="C4:C5"/>
    <mergeCell ref="D5:E5"/>
    <mergeCell ref="H5:I5"/>
    <mergeCell ref="D4:E4"/>
    <mergeCell ref="H4:I4"/>
    <mergeCell ref="A1:K2"/>
    <mergeCell ref="A12:B12"/>
  </mergeCells>
  <conditionalFormatting sqref="B13:B43">
    <cfRule type="containsText" priority="1" operator="containsText" dxfId="2" stopIfTrue="1" text="DOM">
      <formula>NOT(ISERROR(SEARCH("DOM",B13)))</formula>
    </cfRule>
    <cfRule type="containsText" priority="2" operator="containsText" dxfId="2" stopIfTrue="1" text="SAB">
      <formula>NOT(ISERROR(SEARCH("SAB",B13)))</formula>
    </cfRule>
  </conditionalFormatting>
  <pageMargins left="0.5118055555555555" right="0.5118055555555555" top="0.7875" bottom="0.7875" header="0.5118055555555555" footer="0.5118055555555555"/>
  <pageSetup orientation="portrait" paperSize="9" firstPageNumber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topLeftCell="A9" zoomScale="140" zoomScaleNormal="140" workbookViewId="0">
      <selection activeCell="E40" sqref="E40"/>
    </sheetView>
  </sheetViews>
  <sheetFormatPr baseColWidth="10" defaultColWidth="9.796875" defaultRowHeight="12"/>
  <cols>
    <col width="9.796875" customWidth="1" style="4" min="1" max="3"/>
    <col width="9.796875" customWidth="1" style="4" min="4" max="5"/>
    <col width="9.796875" customWidth="1" style="4" min="6" max="9"/>
    <col width="11.59765625" customWidth="1" style="2" min="10" max="10"/>
    <col width="21" customWidth="1" style="4" min="11" max="11"/>
    <col width="9.796875" customWidth="1" style="4" min="12" max="16384"/>
  </cols>
  <sheetData>
    <row r="1" ht="12.75" customHeight="1">
      <c r="A1" s="75" t="inlineStr">
        <is>
          <t>HORAS DE SERVIÇO</t>
        </is>
      </c>
    </row>
    <row r="2" ht="11.25" customHeight="1"/>
    <row r="3" ht="13" customHeight="1" thickBot="1"/>
    <row r="4" ht="13.5" customHeight="1" thickBot="1">
      <c r="A4" s="1" t="inlineStr">
        <is>
          <t>Período:</t>
        </is>
      </c>
      <c r="B4" s="89" t="n">
        <v>45689</v>
      </c>
      <c r="C4" s="72" t="inlineStr">
        <is>
          <t>a</t>
        </is>
      </c>
      <c r="D4" s="90" t="n">
        <v>45716</v>
      </c>
      <c r="E4" s="91" t="n"/>
      <c r="H4" s="32" t="inlineStr">
        <is>
          <t>Total de horas úteis</t>
        </is>
      </c>
      <c r="I4" s="92" t="n"/>
      <c r="J4" s="32" t="inlineStr">
        <is>
          <t>Saldo</t>
        </is>
      </c>
    </row>
    <row r="5" ht="13.5" customHeight="1" thickBot="1">
      <c r="B5" s="93">
        <f>B4</f>
        <v/>
      </c>
      <c r="C5" s="94" t="n"/>
      <c r="D5" s="95">
        <f>D4</f>
        <v/>
      </c>
      <c r="E5" s="96" t="n"/>
      <c r="H5" s="97">
        <f>20*8</f>
        <v/>
      </c>
      <c r="I5" s="92" t="n"/>
      <c r="J5" s="31">
        <f>J41-H5</f>
        <v/>
      </c>
    </row>
    <row r="6">
      <c r="C6" s="6" t="n"/>
      <c r="E6" s="6" t="n"/>
      <c r="H6" s="28" t="n"/>
      <c r="I6" s="29" t="n"/>
      <c r="J6" s="29" t="n"/>
      <c r="K6" s="30" t="n"/>
    </row>
    <row r="7">
      <c r="C7" s="6" t="n"/>
      <c r="E7" s="6" t="n"/>
      <c r="G7" s="25" t="n"/>
      <c r="H7" s="2" t="n"/>
      <c r="I7" s="2" t="n"/>
      <c r="J7" s="26" t="n"/>
    </row>
    <row r="8" ht="18.75" customHeight="1">
      <c r="A8" s="27" t="inlineStr">
        <is>
          <t xml:space="preserve">Nome:  </t>
        </is>
      </c>
      <c r="B8" s="38">
        <f>'Janeiro - 2025'!B8</f>
        <v/>
      </c>
      <c r="C8" s="39" t="n"/>
      <c r="D8" s="39" t="n"/>
      <c r="E8" s="39" t="n"/>
      <c r="F8" s="40" t="n"/>
      <c r="G8" s="3" t="n"/>
      <c r="H8" s="3" t="n"/>
      <c r="I8" s="3" t="n"/>
      <c r="J8" s="3" t="n"/>
    </row>
    <row r="9" ht="16.5" customHeight="1">
      <c r="A9" s="27" t="inlineStr">
        <is>
          <t xml:space="preserve">Projeto: </t>
        </is>
      </c>
      <c r="B9" s="57">
        <f>'Janeiro - 2025'!B9</f>
        <v/>
      </c>
      <c r="C9" s="58" t="n"/>
      <c r="D9" s="58" t="n"/>
      <c r="E9" s="58" t="n"/>
      <c r="F9" s="59" t="n"/>
      <c r="G9" s="3" t="n"/>
      <c r="H9" s="3" t="n"/>
      <c r="I9" s="3" t="n"/>
      <c r="J9" s="3" t="n"/>
    </row>
    <row r="10">
      <c r="A10" s="1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4" t="n"/>
    </row>
    <row r="11" ht="15" customHeight="1"/>
    <row r="12" ht="18.75" customHeight="1">
      <c r="A12" s="71" t="inlineStr">
        <is>
          <t>Dia</t>
        </is>
      </c>
      <c r="B12" s="98" t="n"/>
      <c r="C12" s="71" t="inlineStr">
        <is>
          <t>Entr.</t>
        </is>
      </c>
      <c r="D12" s="21" t="inlineStr">
        <is>
          <t>Saída</t>
        </is>
      </c>
      <c r="E12" s="22" t="inlineStr">
        <is>
          <t>Entr.</t>
        </is>
      </c>
      <c r="F12" s="23" t="inlineStr">
        <is>
          <t>Saída</t>
        </is>
      </c>
      <c r="G12" s="71" t="inlineStr">
        <is>
          <t>Entr.</t>
        </is>
      </c>
      <c r="H12" s="21" t="inlineStr">
        <is>
          <t>Saída</t>
        </is>
      </c>
      <c r="I12" s="70" t="n"/>
      <c r="J12" s="24" t="inlineStr">
        <is>
          <t>Geral</t>
        </is>
      </c>
      <c r="K12" s="24" t="inlineStr">
        <is>
          <t>Observações</t>
        </is>
      </c>
    </row>
    <row r="13">
      <c r="A13" s="20">
        <f>B4</f>
        <v/>
      </c>
      <c r="B13" s="64">
        <f>IF(A13=0,0,MID("DOMSegTerQuaQuiSexSAB",3*WEEKDAY(A13)-2,3))</f>
        <v/>
      </c>
      <c r="C13" s="8" t="n"/>
      <c r="D13" s="8" t="n"/>
      <c r="E13" s="9" t="n"/>
      <c r="F13" s="9" t="n"/>
      <c r="G13" s="9" t="n"/>
      <c r="H13" s="9" t="n"/>
      <c r="I13" s="8" t="n"/>
      <c r="J13" s="5">
        <f>(D13-C13+F13-E13+H13-G13)*24</f>
        <v/>
      </c>
      <c r="K13" s="35" t="n"/>
    </row>
    <row r="14">
      <c r="A14" s="7">
        <f>IF(A13&gt;=$D$4,0,IF(A13=0,0,1+A13))</f>
        <v/>
      </c>
      <c r="B14" s="64">
        <f>IF(A14=0,0,MID("DOMSegTerQuaQuiSexSAB",3*WEEKDAY(A14)-2,3))</f>
        <v/>
      </c>
      <c r="C14" s="8" t="n"/>
      <c r="D14" s="8" t="n"/>
      <c r="E14" s="9" t="n"/>
      <c r="F14" s="9" t="n"/>
      <c r="G14" s="9" t="n"/>
      <c r="H14" s="9" t="n"/>
      <c r="I14" s="8" t="n"/>
      <c r="J14" s="5">
        <f>(D14-C14+F14-E14+H14-G14)*24</f>
        <v/>
      </c>
      <c r="K14" s="35" t="n"/>
    </row>
    <row r="15">
      <c r="A15" s="7">
        <f>IF(A14&gt;=$D$4,0,IF(A14=0,0,1+A14))</f>
        <v/>
      </c>
      <c r="B15" s="64">
        <f>IF(A15=0,0,MID("DOMSegTerQuaQuiSexSAB",3*WEEKDAY(A15)-2,3))</f>
        <v/>
      </c>
      <c r="C15" s="8" t="n">
        <v>0.3333333333333333</v>
      </c>
      <c r="D15" s="8" t="n">
        <v>0.5</v>
      </c>
      <c r="E15" s="9" t="n">
        <v>0.5416666666666666</v>
      </c>
      <c r="F15" s="9" t="n">
        <v>0.7083333333333334</v>
      </c>
      <c r="G15" s="9" t="n"/>
      <c r="H15" s="9" t="n"/>
      <c r="I15" s="8" t="n"/>
      <c r="J15" s="5">
        <f>(D15-C15+F15-E15+H15-G15)*24</f>
        <v/>
      </c>
      <c r="K15" s="35" t="n"/>
    </row>
    <row r="16">
      <c r="A16" s="7">
        <f>IF(A15&gt;=$D$4,0,IF(A15=0,0,1+A15))</f>
        <v/>
      </c>
      <c r="B16" s="62">
        <f>IF(A16=0,0,MID("DOMSegTerQuaQuiSexSAB",3*WEEKDAY(A16)-2,3))</f>
        <v/>
      </c>
      <c r="C16" s="8" t="n">
        <v>0.3333333333333333</v>
      </c>
      <c r="D16" s="8" t="n">
        <v>0.5</v>
      </c>
      <c r="E16" s="9" t="n">
        <v>0.5416666666666666</v>
      </c>
      <c r="F16" s="9" t="n">
        <v>0.7083333333333334</v>
      </c>
      <c r="G16" s="9" t="n"/>
      <c r="H16" s="9" t="n"/>
      <c r="I16" s="8" t="n"/>
      <c r="J16" s="5">
        <f>(D16-C16+F16-E16+H16-G16)*24</f>
        <v/>
      </c>
      <c r="K16" s="35" t="n"/>
    </row>
    <row r="17">
      <c r="A17" s="7">
        <f>IF(A16&gt;=$D$4,0,IF(A16=0,0,1+A16))</f>
        <v/>
      </c>
      <c r="B17" s="62">
        <f>IF(A17=0,0,MID("DOMSegTerQuaQuiSexSAB",3*WEEKDAY(A17)-2,3))</f>
        <v/>
      </c>
      <c r="C17" s="8" t="n">
        <v>0.3333333333333333</v>
      </c>
      <c r="D17" s="8" t="n">
        <v>0.5</v>
      </c>
      <c r="E17" s="9" t="n">
        <v>0.5416666666666666</v>
      </c>
      <c r="F17" s="9" t="n">
        <v>0.7083333333333334</v>
      </c>
      <c r="G17" s="9" t="n"/>
      <c r="H17" s="9" t="n"/>
      <c r="I17" s="8" t="n"/>
      <c r="J17" s="5">
        <f>(D17-C17+F17-E17+H17-G17)*24</f>
        <v/>
      </c>
      <c r="K17" s="35" t="n"/>
    </row>
    <row r="18">
      <c r="A18" s="7">
        <f>IF(A17&gt;=$D$4,0,IF(A17=0,0,1+A17))</f>
        <v/>
      </c>
      <c r="B18" s="64">
        <f>IF(A18=0,0,MID("DOMSegTerQuaQuiSexSAB",3*WEEKDAY(A18)-2,3))</f>
        <v/>
      </c>
      <c r="C18" s="8" t="n">
        <v>0.3333333333333333</v>
      </c>
      <c r="D18" s="8" t="n">
        <v>0.5</v>
      </c>
      <c r="E18" s="9" t="n">
        <v>0.5416666666666666</v>
      </c>
      <c r="F18" s="9" t="n">
        <v>0.7083333333333334</v>
      </c>
      <c r="G18" s="9" t="n"/>
      <c r="H18" s="9" t="n"/>
      <c r="I18" s="8" t="n"/>
      <c r="J18" s="5">
        <f>(D18-C18+F18-E18+H18-G18)*24</f>
        <v/>
      </c>
      <c r="K18" s="35" t="n"/>
    </row>
    <row r="19">
      <c r="A19" s="7">
        <f>IF(A18&gt;=$D$4,0,IF(A18=0,0,1+A18))</f>
        <v/>
      </c>
      <c r="B19" s="64">
        <f>IF(A19=0,0,MID("DOMSegTerQuaQuiSexSAB",3*WEEKDAY(A19)-2,3))</f>
        <v/>
      </c>
      <c r="C19" s="8" t="n">
        <v>0.3333333333333333</v>
      </c>
      <c r="D19" s="8" t="n">
        <v>0.5</v>
      </c>
      <c r="E19" s="9" t="n">
        <v>0.5416666666666666</v>
      </c>
      <c r="F19" s="9" t="n">
        <v>0.7083333333333334</v>
      </c>
      <c r="G19" s="12" t="n"/>
      <c r="H19" s="12" t="n"/>
      <c r="I19" s="11" t="n"/>
      <c r="J19" s="5">
        <f>(D19-C19+F19-E19+H19-G19)*24</f>
        <v/>
      </c>
      <c r="K19" s="36" t="n"/>
    </row>
    <row r="20">
      <c r="A20" s="7">
        <f>IF(A19&gt;=$D$4,0,IF(A19=0,0,1+A19))</f>
        <v/>
      </c>
      <c r="B20" s="64">
        <f>IF(A20=0,0,MID("DOMSegTerQuaQuiSexSAB",3*WEEKDAY(A20)-2,3))</f>
        <v/>
      </c>
      <c r="C20" s="8" t="n"/>
      <c r="D20" s="8" t="n"/>
      <c r="E20" s="9" t="n"/>
      <c r="F20" s="9" t="n"/>
      <c r="G20" s="9" t="n"/>
      <c r="H20" s="9" t="n"/>
      <c r="I20" s="8" t="n"/>
      <c r="J20" s="5">
        <f>(D20-C20+F20-E20+H20-G20)*24</f>
        <v/>
      </c>
      <c r="K20" s="35" t="n"/>
    </row>
    <row r="21">
      <c r="A21" s="7">
        <f>IF(A20&gt;=$D$4,0,IF(A20=0,0,1+A20))</f>
        <v/>
      </c>
      <c r="B21" s="64">
        <f>IF(A21=0,0,MID("DOMSegTerQuaQuiSexSAB",3*WEEKDAY(A21)-2,3))</f>
        <v/>
      </c>
      <c r="C21" s="8" t="n"/>
      <c r="D21" s="8" t="n"/>
      <c r="E21" s="9" t="n"/>
      <c r="F21" s="9" t="n"/>
      <c r="G21" s="9" t="n"/>
      <c r="H21" s="9" t="n"/>
      <c r="I21" s="8" t="n"/>
      <c r="J21" s="5">
        <f>(D21-C21+F21-E21+H21-G21)*24</f>
        <v/>
      </c>
      <c r="K21" s="35" t="n"/>
    </row>
    <row r="22">
      <c r="A22" s="7">
        <f>IF(A21&gt;=$D$4,0,IF(A21=0,0,1+A21))</f>
        <v/>
      </c>
      <c r="B22" s="64">
        <f>IF(A22=0,0,MID("DOMSegTerQuaQuiSexSAB",3*WEEKDAY(A22)-2,3))</f>
        <v/>
      </c>
      <c r="C22" s="8" t="n">
        <v>0.3333333333333333</v>
      </c>
      <c r="D22" s="8" t="n">
        <v>0.5</v>
      </c>
      <c r="E22" s="9" t="n">
        <v>0.5416666666666666</v>
      </c>
      <c r="F22" s="9" t="n">
        <v>0.7083333333333334</v>
      </c>
      <c r="G22" s="9" t="n"/>
      <c r="H22" s="9" t="n"/>
      <c r="I22" s="8" t="n"/>
      <c r="J22" s="5">
        <f>(D22-C22+F22-E22+H22-G22)*24</f>
        <v/>
      </c>
      <c r="K22" s="35" t="n"/>
    </row>
    <row r="23">
      <c r="A23" s="7">
        <f>IF(A22&gt;=$D$4,0,IF(A22=0,0,1+A22))</f>
        <v/>
      </c>
      <c r="B23" s="62">
        <f>IF(A23=0,0,MID("DOMSegTerQuaQuiSexSAB",3*WEEKDAY(A23)-2,3))</f>
        <v/>
      </c>
      <c r="C23" s="8" t="n">
        <v>0.3333333333333333</v>
      </c>
      <c r="D23" s="8" t="n">
        <v>0.5</v>
      </c>
      <c r="E23" s="9" t="n">
        <v>0.5416666666666666</v>
      </c>
      <c r="F23" s="9" t="n">
        <v>0.7083333333333334</v>
      </c>
      <c r="G23" s="9" t="n"/>
      <c r="H23" s="9" t="n"/>
      <c r="I23" s="8" t="n"/>
      <c r="J23" s="5">
        <f>(D23-C23+F23-E23+H23-G23)*24</f>
        <v/>
      </c>
      <c r="K23" s="35" t="n"/>
    </row>
    <row r="24">
      <c r="A24" s="7">
        <f>IF(A23&gt;=$D$4,0,IF(A23=0,0,1+A23))</f>
        <v/>
      </c>
      <c r="B24" s="62">
        <f>IF(A24=0,0,MID("DOMSegTerQuaQuiSexSAB",3*WEEKDAY(A24)-2,3))</f>
        <v/>
      </c>
      <c r="C24" s="8" t="n">
        <v>0.3333333333333333</v>
      </c>
      <c r="D24" s="8" t="n">
        <v>0.5</v>
      </c>
      <c r="E24" s="9" t="n">
        <v>0.5416666666666666</v>
      </c>
      <c r="F24" s="9" t="n">
        <v>0.7083333333333334</v>
      </c>
      <c r="G24" s="9" t="n"/>
      <c r="H24" s="9" t="n"/>
      <c r="I24" s="8" t="n"/>
      <c r="J24" s="5">
        <f>(D24-C24+F24-E24+H24-G24)*24</f>
        <v/>
      </c>
      <c r="K24" s="35" t="n"/>
    </row>
    <row r="25">
      <c r="A25" s="7">
        <f>IF(A24&gt;=$D$4,0,IF(A24=0,0,1+A24))</f>
        <v/>
      </c>
      <c r="B25" s="62">
        <f>IF(A25=0,0,MID("DOMSegTerQuaQuiSexSAB",3*WEEKDAY(A25)-2,3))</f>
        <v/>
      </c>
      <c r="C25" s="8" t="n">
        <v>0.3333333333333333</v>
      </c>
      <c r="D25" s="8" t="n">
        <v>0.5</v>
      </c>
      <c r="E25" s="9" t="n">
        <v>0.5416666666666666</v>
      </c>
      <c r="F25" s="9" t="n">
        <v>0.7083333333333334</v>
      </c>
      <c r="G25" s="9" t="n"/>
      <c r="H25" s="9" t="n"/>
      <c r="I25" s="8" t="n"/>
      <c r="J25" s="5">
        <f>(D25-C25+F25-E25+H25-G25)*24</f>
        <v/>
      </c>
      <c r="K25" s="35" t="n"/>
    </row>
    <row r="26">
      <c r="A26" s="7">
        <f>IF(A25&gt;=$D$4,0,IF(A25=0,0,1+A25))</f>
        <v/>
      </c>
      <c r="B26" s="64">
        <f>IF(A26=0,0,MID("DOMSegTerQuaQuiSexSAB",3*WEEKDAY(A26)-2,3))</f>
        <v/>
      </c>
      <c r="C26" s="8" t="n">
        <v>0.3333333333333333</v>
      </c>
      <c r="D26" s="8" t="n">
        <v>0.5</v>
      </c>
      <c r="E26" s="9" t="n">
        <v>0.5416666666666666</v>
      </c>
      <c r="F26" s="9" t="n">
        <v>0.7083333333333334</v>
      </c>
      <c r="G26" s="9" t="n"/>
      <c r="H26" s="9" t="n"/>
      <c r="I26" s="8" t="n"/>
      <c r="J26" s="5">
        <f>(D26-C26+F26-E26+H26-G26)*24</f>
        <v/>
      </c>
      <c r="K26" s="35" t="n"/>
    </row>
    <row r="27">
      <c r="A27" s="7">
        <f>IF(A26&gt;=$D$4,0,IF(A26=0,0,1+A26))</f>
        <v/>
      </c>
      <c r="B27" s="64">
        <f>IF(A27=0,0,MID("DOMSegTerQuaQuiSexSAB",3*WEEKDAY(A27)-2,3))</f>
        <v/>
      </c>
      <c r="C27" s="8" t="n"/>
      <c r="D27" s="8" t="n"/>
      <c r="E27" s="9" t="n"/>
      <c r="F27" s="9" t="n"/>
      <c r="G27" s="14" t="n"/>
      <c r="H27" s="9" t="n"/>
      <c r="I27" s="8" t="n"/>
      <c r="J27" s="5">
        <f>(D27-C27+F27-E27+H27-G27)*24</f>
        <v/>
      </c>
      <c r="K27" s="37" t="n"/>
    </row>
    <row r="28">
      <c r="A28" s="7">
        <f>IF(A27&gt;=$D$4,0,IF(A27=0,0,1+A27))</f>
        <v/>
      </c>
      <c r="B28" s="64">
        <f>IF(A28=0,0,MID("DOMSegTerQuaQuiSexSAB",3*WEEKDAY(A28)-2,3))</f>
        <v/>
      </c>
      <c r="C28" s="8" t="n"/>
      <c r="D28" s="8" t="n"/>
      <c r="E28" s="9" t="n"/>
      <c r="F28" s="9" t="n"/>
      <c r="G28" s="9" t="n"/>
      <c r="H28" s="9" t="n"/>
      <c r="I28" s="8" t="n"/>
      <c r="J28" s="5">
        <f>(D28-C28+F28-E28+H28-G28)*24</f>
        <v/>
      </c>
      <c r="K28" s="35" t="n"/>
    </row>
    <row r="29">
      <c r="A29" s="7">
        <f>IF(A28&gt;=$D$4,0,IF(A28=0,0,1+A28))</f>
        <v/>
      </c>
      <c r="B29" s="64">
        <f>IF(A29=0,0,MID("DOMSegTerQuaQuiSexSAB",3*WEEKDAY(A29)-2,3))</f>
        <v/>
      </c>
      <c r="C29" s="8" t="n">
        <v>0.3333333333333333</v>
      </c>
      <c r="D29" s="8" t="n">
        <v>0.5</v>
      </c>
      <c r="E29" s="9" t="n">
        <v>0.5416666666666666</v>
      </c>
      <c r="F29" s="9" t="n">
        <v>0.7083333333333334</v>
      </c>
      <c r="G29" s="9" t="n"/>
      <c r="H29" s="9" t="n"/>
      <c r="I29" s="8" t="n"/>
      <c r="J29" s="5">
        <f>(D29-C29+F29-E29+H29-G29)*24</f>
        <v/>
      </c>
      <c r="K29" s="35" t="n"/>
    </row>
    <row r="30">
      <c r="A30" s="7">
        <f>IF(A29&gt;=$D$4,0,IF(A29=0,0,1+A29))</f>
        <v/>
      </c>
      <c r="B30" s="62">
        <f>IF(A30=0,0,MID("DOMSegTerQuaQuiSexSAB",3*WEEKDAY(A30)-2,3))</f>
        <v/>
      </c>
      <c r="C30" s="8" t="n">
        <v>0.3333333333333333</v>
      </c>
      <c r="D30" s="8" t="n">
        <v>0.5</v>
      </c>
      <c r="E30" s="9" t="n">
        <v>0.5416666666666666</v>
      </c>
      <c r="F30" s="9" t="n">
        <v>0.7083333333333334</v>
      </c>
      <c r="G30" s="9" t="n"/>
      <c r="H30" s="9" t="n"/>
      <c r="I30" s="8" t="n"/>
      <c r="J30" s="5">
        <f>(D30-C30+F30-E30+H30-G30)*24</f>
        <v/>
      </c>
      <c r="K30" s="35" t="n"/>
    </row>
    <row r="31">
      <c r="A31" s="7">
        <f>IF(A30&gt;=$D$4,0,IF(A30=0,0,1+A30))</f>
        <v/>
      </c>
      <c r="B31" s="62">
        <f>IF(A31=0,0,MID("DOMSegTerQuaQuiSexSAB",3*WEEKDAY(A31)-2,3))</f>
        <v/>
      </c>
      <c r="C31" s="8" t="n">
        <v>0.3333333333333333</v>
      </c>
      <c r="D31" s="8" t="n">
        <v>0.5</v>
      </c>
      <c r="E31" s="9" t="n">
        <v>0.5416666666666666</v>
      </c>
      <c r="F31" s="9" t="n">
        <v>0.7083333333333334</v>
      </c>
      <c r="G31" s="9" t="n"/>
      <c r="H31" s="9" t="n"/>
      <c r="I31" s="8" t="n"/>
      <c r="J31" s="5">
        <f>(D31-C31+F31-E31+H31-G31)*24</f>
        <v/>
      </c>
      <c r="K31" s="35" t="n"/>
    </row>
    <row r="32">
      <c r="A32" s="7">
        <f>IF(A31&gt;=$D$4,0,IF(A31=0,0,1+A31))</f>
        <v/>
      </c>
      <c r="B32" s="64">
        <f>IF(A32=0,0,MID("DOMSegTerQuaQuiSexSAB",3*WEEKDAY(A32)-2,3))</f>
        <v/>
      </c>
      <c r="C32" s="8" t="n">
        <v>0.3333333333333333</v>
      </c>
      <c r="D32" s="8" t="n">
        <v>0.5</v>
      </c>
      <c r="E32" s="9" t="n">
        <v>0.5416666666666666</v>
      </c>
      <c r="F32" s="9" t="n">
        <v>0.7083333333333334</v>
      </c>
      <c r="G32" s="9" t="n"/>
      <c r="H32" s="9" t="n"/>
      <c r="I32" s="8" t="n"/>
      <c r="J32" s="5">
        <f>(D32-C32+F32-E32+H32-G32)*24</f>
        <v/>
      </c>
      <c r="K32" s="35" t="n"/>
    </row>
    <row r="33">
      <c r="A33" s="7">
        <f>IF(A32&gt;=$D$4,0,IF(A32=0,0,1+A32))</f>
        <v/>
      </c>
      <c r="B33" s="64">
        <f>IF(A33=0,0,MID("DOMSegTerQuaQuiSexSAB",3*WEEKDAY(A33)-2,3))</f>
        <v/>
      </c>
      <c r="C33" s="8" t="n">
        <v>0.3333333333333333</v>
      </c>
      <c r="D33" s="8" t="n">
        <v>0.5</v>
      </c>
      <c r="E33" s="9" t="n">
        <v>0.5416666666666666</v>
      </c>
      <c r="F33" s="9" t="n">
        <v>0.7083333333333334</v>
      </c>
      <c r="G33" s="9" t="n"/>
      <c r="H33" s="9" t="n"/>
      <c r="I33" s="8" t="n"/>
      <c r="J33" s="5">
        <f>(D33-C33+F33-E33+H33-G33)*24</f>
        <v/>
      </c>
      <c r="K33" s="35" t="n"/>
    </row>
    <row r="34">
      <c r="A34" s="7">
        <f>IF(A33&gt;=$D$4,0,IF(A33=0,0,1+A33))</f>
        <v/>
      </c>
      <c r="B34" s="64">
        <f>IF(A34=0,0,MID("DOMSegTerQuaQuiSexSAB",3*WEEKDAY(A34)-2,3))</f>
        <v/>
      </c>
      <c r="C34" s="8" t="n"/>
      <c r="D34" s="8" t="n"/>
      <c r="E34" s="9" t="n"/>
      <c r="F34" s="9" t="n"/>
      <c r="G34" s="9" t="n"/>
      <c r="H34" s="9" t="n"/>
      <c r="I34" s="8" t="n"/>
      <c r="J34" s="5">
        <f>(D34-C34+F34-E34+H34-G34)*24</f>
        <v/>
      </c>
      <c r="K34" s="35" t="n"/>
    </row>
    <row r="35">
      <c r="A35" s="7">
        <f>IF(A34&gt;=$D$4,0,IF(A34=0,0,1+A34))</f>
        <v/>
      </c>
      <c r="B35" s="64">
        <f>IF(A35=0,0,MID("DOMSegTerQuaQuiSexSAB",3*WEEKDAY(A35)-2,3))</f>
        <v/>
      </c>
      <c r="C35" s="8" t="n"/>
      <c r="D35" s="8" t="n"/>
      <c r="E35" s="9" t="n"/>
      <c r="F35" s="9" t="n"/>
      <c r="G35" s="9" t="n"/>
      <c r="H35" s="9" t="n"/>
      <c r="I35" s="8" t="n"/>
      <c r="J35" s="5">
        <f>(D35-C35+F35-E35+H35-G35)*24</f>
        <v/>
      </c>
      <c r="K35" s="35" t="n"/>
    </row>
    <row r="36">
      <c r="A36" s="7">
        <f>IF(A35&gt;=$D$4,0,IF(A35=0,0,1+A35))</f>
        <v/>
      </c>
      <c r="B36" s="64">
        <f>IF(A36=0,0,MID("DOMSegTerQuaQuiSexSAB",3*WEEKDAY(A36)-2,3))</f>
        <v/>
      </c>
      <c r="C36" s="8" t="n">
        <v>0.3333333333333333</v>
      </c>
      <c r="D36" s="8" t="n">
        <v>0.5277777777777778</v>
      </c>
      <c r="E36" s="9" t="n">
        <v>0.5694444444444444</v>
      </c>
      <c r="F36" s="9" t="n">
        <v>0.7083333333333334</v>
      </c>
      <c r="G36" s="9" t="n"/>
      <c r="H36" s="9" t="n"/>
      <c r="I36" s="8" t="n"/>
      <c r="J36" s="5">
        <f>(D36-C36+F36-E36+H36-G36)*24</f>
        <v/>
      </c>
      <c r="K36" s="35" t="n"/>
    </row>
    <row r="37">
      <c r="A37" s="7">
        <f>IF(A36&gt;=$D$4,0,IF(A36=0,0,1+A36))</f>
        <v/>
      </c>
      <c r="B37" s="62">
        <f>IF(A37=0,0,MID("DOMSegTerQuaQuiSexSAB",3*WEEKDAY(A37)-2,3))</f>
        <v/>
      </c>
      <c r="C37" s="8" t="n">
        <v>0.2916666666666667</v>
      </c>
      <c r="D37" s="8" t="n">
        <v>0.5</v>
      </c>
      <c r="E37" s="9" t="n">
        <v>0.5416666666666666</v>
      </c>
      <c r="F37" s="9" t="n">
        <v>0.7083333333333334</v>
      </c>
      <c r="G37" s="9" t="n"/>
      <c r="H37" s="9" t="n"/>
      <c r="I37" s="8" t="n"/>
      <c r="J37" s="5">
        <f>(D37-C37+F37-E37+H37-G37)*24</f>
        <v/>
      </c>
      <c r="K37" s="35" t="n"/>
    </row>
    <row r="38">
      <c r="A38" s="7">
        <f>IF(A37&gt;=$D$4,0,IF(A37=0,0,1+A37))</f>
        <v/>
      </c>
      <c r="B38" s="62">
        <f>IF(A38=0,0,MID("DOMSegTerQuaQuiSexSAB",3*WEEKDAY(A38)-2,3))</f>
        <v/>
      </c>
      <c r="C38" s="8" t="n">
        <v>0.2916666666666667</v>
      </c>
      <c r="D38" s="8" t="n">
        <v>0.5277777777777778</v>
      </c>
      <c r="E38" s="9" t="n">
        <v>0.5694444444444444</v>
      </c>
      <c r="F38" s="9" t="n">
        <v>0.7083333333333334</v>
      </c>
      <c r="G38" s="9" t="n"/>
      <c r="H38" s="9" t="n"/>
      <c r="I38" s="8" t="n"/>
      <c r="J38" s="5">
        <f>(D38-C38+F38-E38+H38-G38)*24</f>
        <v/>
      </c>
      <c r="K38" s="35" t="n"/>
    </row>
    <row r="39">
      <c r="A39" s="7">
        <f>IF(A38&gt;=$D$4,0,IF(A38=0,0,1+A38))</f>
        <v/>
      </c>
      <c r="B39" s="64">
        <f>IF(A39=0,0,MID("DOMSegTerQuaQuiSexSAB",3*WEEKDAY(A39)-2,3))</f>
        <v/>
      </c>
      <c r="C39" s="8" t="n">
        <v>0.2916666666666667</v>
      </c>
      <c r="D39" s="8" t="n">
        <v>0.5277777777777778</v>
      </c>
      <c r="E39" s="9" t="n">
        <v>0.5694444444444444</v>
      </c>
      <c r="F39" s="9" t="n">
        <v>0.7083333333333334</v>
      </c>
      <c r="G39" s="9" t="n"/>
      <c r="H39" s="9" t="n"/>
      <c r="I39" s="8" t="n"/>
      <c r="J39" s="5">
        <f>(D39-C39+F39-E39+H39-G39)*24</f>
        <v/>
      </c>
      <c r="K39" s="35" t="n"/>
    </row>
    <row r="40" ht="13" customHeight="1" thickBot="1">
      <c r="A40" s="7">
        <f>IF(A39&gt;=$D$4,0,IF(A39=0,0,1+A39))</f>
        <v/>
      </c>
      <c r="B40" s="64">
        <f>IF(A40=0,0,MID("DOMSegTerQuaQuiSexSAB",3*WEEKDAY(A40)-2,3))</f>
        <v/>
      </c>
      <c r="C40" s="8" t="n">
        <v>0.375</v>
      </c>
      <c r="D40" s="8" t="n">
        <v>0.5</v>
      </c>
      <c r="E40" s="9" t="n">
        <v>0.5416666666666666</v>
      </c>
      <c r="F40" s="9" t="n">
        <v>0.7083333333333334</v>
      </c>
      <c r="G40" s="9" t="n"/>
      <c r="H40" s="9" t="n"/>
      <c r="I40" s="8" t="n"/>
      <c r="J40" s="5">
        <f>(D40-C40+F40-E40+H40-G40)*24</f>
        <v/>
      </c>
      <c r="K40" s="35" t="n"/>
    </row>
    <row r="41" ht="15" customHeight="1" thickBot="1">
      <c r="C41" s="15" t="n"/>
      <c r="D41" s="15" t="n"/>
      <c r="E41" s="15" t="n"/>
      <c r="F41" s="15" t="n"/>
      <c r="G41" s="15" t="n"/>
      <c r="H41" s="15" t="n"/>
      <c r="I41" s="15" t="n"/>
      <c r="J41" s="18">
        <f>SUM(J$13:J$40)</f>
        <v/>
      </c>
    </row>
    <row r="42" ht="13.25" customHeight="1">
      <c r="C42" s="15" t="n"/>
      <c r="D42" s="15" t="n"/>
      <c r="E42" s="15" t="n"/>
      <c r="F42" s="15" t="n"/>
      <c r="G42" s="15" t="n"/>
      <c r="H42" s="15" t="n"/>
      <c r="I42" s="15" t="n"/>
    </row>
  </sheetData>
  <mergeCells count="7">
    <mergeCell ref="C4:C5"/>
    <mergeCell ref="D5:E5"/>
    <mergeCell ref="H5:I5"/>
    <mergeCell ref="D4:E4"/>
    <mergeCell ref="H4:I4"/>
    <mergeCell ref="A1:K2"/>
    <mergeCell ref="A12:B12"/>
  </mergeCells>
  <conditionalFormatting sqref="B13:B40">
    <cfRule type="containsText" priority="7" operator="containsText" dxfId="2" stopIfTrue="1" text="DOM">
      <formula>NOT(ISERROR(SEARCH("DOM",B13)))</formula>
    </cfRule>
    <cfRule type="containsText" priority="8" operator="containsText" dxfId="2" stopIfTrue="1" text="SAB">
      <formula>NOT(ISERROR(SEARCH("SAB",B13)))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tabSelected="1" topLeftCell="A10" zoomScale="200" zoomScaleNormal="200" workbookViewId="0">
      <selection activeCell="C24" sqref="C24:F24"/>
    </sheetView>
  </sheetViews>
  <sheetFormatPr baseColWidth="10" defaultColWidth="9.796875" defaultRowHeight="12"/>
  <cols>
    <col width="9.796875" customWidth="1" style="4" min="1" max="9"/>
    <col width="11.796875" customWidth="1" style="2" min="10" max="10"/>
    <col width="21" customWidth="1" style="4" min="11" max="11"/>
    <col width="9.796875" customWidth="1" style="4" min="12" max="16384"/>
  </cols>
  <sheetData>
    <row r="1" ht="12.75" customHeight="1">
      <c r="A1" s="75" t="inlineStr">
        <is>
          <t>HORAS DE SERVIÇO</t>
        </is>
      </c>
    </row>
    <row r="2" ht="11.25" customHeight="1"/>
    <row r="3" ht="13" customHeight="1" thickBot="1"/>
    <row r="4" ht="23.5" customHeight="1" thickBot="1">
      <c r="A4" s="1" t="inlineStr">
        <is>
          <t>Período:</t>
        </is>
      </c>
      <c r="B4" s="89" t="n">
        <v>45717</v>
      </c>
      <c r="C4" s="72" t="inlineStr">
        <is>
          <t>a</t>
        </is>
      </c>
      <c r="D4" s="90" t="n">
        <v>45747</v>
      </c>
      <c r="E4" s="91" t="n"/>
      <c r="H4" s="32" t="inlineStr">
        <is>
          <t>Total de horas úteis</t>
        </is>
      </c>
      <c r="I4" s="92" t="n"/>
      <c r="J4" s="32" t="inlineStr">
        <is>
          <t>Saldo</t>
        </is>
      </c>
    </row>
    <row r="5" ht="13.5" customHeight="1" thickBot="1">
      <c r="B5" s="93">
        <f>B4</f>
        <v/>
      </c>
      <c r="C5" s="94" t="n"/>
      <c r="D5" s="95">
        <f>D4</f>
        <v/>
      </c>
      <c r="E5" s="96" t="n"/>
      <c r="H5" s="97">
        <f>20*8</f>
        <v/>
      </c>
      <c r="I5" s="92" t="n"/>
      <c r="J5" s="31">
        <f>J44-H5</f>
        <v/>
      </c>
    </row>
    <row r="6">
      <c r="C6" s="6" t="n"/>
      <c r="E6" s="6" t="n"/>
      <c r="H6" s="28" t="n"/>
      <c r="I6" s="29" t="n"/>
      <c r="J6" s="29" t="n"/>
      <c r="K6" s="30" t="n"/>
    </row>
    <row r="7">
      <c r="C7" s="6" t="n"/>
      <c r="E7" s="6" t="n"/>
      <c r="G7" s="25" t="n"/>
      <c r="H7" s="2" t="n"/>
      <c r="I7" s="2" t="n"/>
      <c r="J7" s="26" t="n"/>
    </row>
    <row r="8" ht="18.75" customHeight="1">
      <c r="A8" s="27" t="inlineStr">
        <is>
          <t xml:space="preserve">Nome:  </t>
        </is>
      </c>
      <c r="B8" s="38">
        <f>'Fevereiro - 2025'!B8</f>
        <v/>
      </c>
      <c r="C8" s="39" t="n"/>
      <c r="D8" s="39" t="n"/>
      <c r="E8" s="39" t="n"/>
      <c r="F8" s="40" t="n"/>
      <c r="G8" s="3" t="n"/>
      <c r="H8" s="3" t="n"/>
      <c r="I8" s="3" t="n"/>
      <c r="J8" s="3" t="n"/>
    </row>
    <row r="9" ht="16.5" customHeight="1">
      <c r="A9" s="27" t="inlineStr">
        <is>
          <t xml:space="preserve">Projeto: </t>
        </is>
      </c>
      <c r="B9" s="57">
        <f>'Fevereiro - 2025'!B9</f>
        <v/>
      </c>
      <c r="C9" s="58" t="n"/>
      <c r="D9" s="58" t="n"/>
      <c r="E9" s="58" t="n"/>
      <c r="F9" s="59" t="n"/>
      <c r="G9" s="3" t="n"/>
      <c r="H9" s="3" t="n"/>
      <c r="I9" s="3" t="n"/>
      <c r="J9" s="3" t="n"/>
    </row>
    <row r="10">
      <c r="A10" s="1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4" t="n"/>
    </row>
    <row r="11" ht="15" customHeight="1"/>
    <row r="12" ht="18.75" customHeight="1">
      <c r="A12" s="71" t="inlineStr">
        <is>
          <t>Dia</t>
        </is>
      </c>
      <c r="B12" s="98" t="n"/>
      <c r="C12" s="71" t="inlineStr">
        <is>
          <t>Entr.</t>
        </is>
      </c>
      <c r="D12" s="21" t="inlineStr">
        <is>
          <t>Saída</t>
        </is>
      </c>
      <c r="E12" s="22" t="inlineStr">
        <is>
          <t>Entr.</t>
        </is>
      </c>
      <c r="F12" s="23" t="inlineStr">
        <is>
          <t>Saída</t>
        </is>
      </c>
      <c r="G12" s="71" t="inlineStr">
        <is>
          <t>Entr.</t>
        </is>
      </c>
      <c r="H12" s="21" t="inlineStr">
        <is>
          <t>Saída</t>
        </is>
      </c>
      <c r="I12" s="70" t="n"/>
      <c r="J12" s="24" t="inlineStr">
        <is>
          <t>Geral</t>
        </is>
      </c>
      <c r="K12" s="24" t="inlineStr">
        <is>
          <t>Observações</t>
        </is>
      </c>
    </row>
    <row r="13">
      <c r="A13" s="20">
        <f>B4</f>
        <v/>
      </c>
      <c r="B13" s="62">
        <f>IF(A13=0,0,MID("DOMSegTerQuaQuiSexSAB",3*WEEKDAY(A13)-2,3))</f>
        <v/>
      </c>
      <c r="C13" s="8" t="n"/>
      <c r="D13" s="8" t="n"/>
      <c r="E13" s="9" t="n"/>
      <c r="F13" s="9" t="n"/>
      <c r="G13" s="9" t="n"/>
      <c r="H13" s="9" t="n"/>
      <c r="I13" s="8" t="n"/>
      <c r="J13" s="5">
        <f>(D13-C13+F13-E13+H13-G13)*24</f>
        <v/>
      </c>
      <c r="K13" s="35" t="n"/>
    </row>
    <row r="14">
      <c r="A14" s="7">
        <f>IF(A13&gt;=$D$4,0,IF(A13=0,0,1+A13))</f>
        <v/>
      </c>
      <c r="B14" s="62">
        <f>IF(A14=0,0,MID("DOMSegTerQuaQuiSexSAB",3*WEEKDAY(A14)-2,3))</f>
        <v/>
      </c>
      <c r="C14" s="8" t="n"/>
      <c r="D14" s="8" t="n"/>
      <c r="E14" s="9" t="n"/>
      <c r="F14" s="9" t="n"/>
      <c r="G14" s="9" t="n"/>
      <c r="H14" s="9" t="n"/>
      <c r="I14" s="8" t="n"/>
      <c r="J14" s="5">
        <f>(D14-C14+F14-E14+H14-G14)*24</f>
        <v/>
      </c>
      <c r="K14" s="35" t="n"/>
    </row>
    <row r="15">
      <c r="A15" s="7">
        <f>IF(A14&gt;=$D$4,0,IF(A14=0,0,1+A14))</f>
        <v/>
      </c>
      <c r="B15" s="62">
        <f>IF(A15=0,0,MID("DOMSegTerQuaQuiSexSAB",3*WEEKDAY(A15)-2,3))</f>
        <v/>
      </c>
      <c r="C15" s="8" t="n"/>
      <c r="D15" s="8" t="n"/>
      <c r="E15" s="9" t="n"/>
      <c r="F15" s="9" t="n"/>
      <c r="G15" s="9" t="n"/>
      <c r="H15" s="9" t="n"/>
      <c r="I15" s="8" t="n"/>
      <c r="J15" s="5">
        <f>(D15-C15+F15-E15+H15-G15)*24</f>
        <v/>
      </c>
      <c r="K15" s="35" t="n"/>
    </row>
    <row r="16">
      <c r="A16" s="7">
        <f>IF(A15&gt;=$D$4,0,IF(A15=0,0,1+A15))</f>
        <v/>
      </c>
      <c r="B16" s="62">
        <f>IF(A16=0,0,MID("DOMSegTerQuaQuiSexSAB",3*WEEKDAY(A16)-2,3))</f>
        <v/>
      </c>
      <c r="C16" s="8" t="n"/>
      <c r="D16" s="8" t="n"/>
      <c r="E16" s="9" t="n"/>
      <c r="F16" s="9" t="n"/>
      <c r="G16" s="9" t="n"/>
      <c r="H16" s="9" t="n"/>
      <c r="I16" s="8" t="n"/>
      <c r="J16" s="5">
        <f>(D16-C16+F16-E16+H16-G16)*24</f>
        <v/>
      </c>
      <c r="K16" s="35" t="n"/>
    </row>
    <row r="17">
      <c r="A17" s="7">
        <f>IF(A16&gt;=$D$4,0,IF(A16=0,0,1+A16))</f>
        <v/>
      </c>
      <c r="B17" s="62">
        <f>IF(A17=0,0,MID("DOMSegTerQuaQuiSexSAB",3*WEEKDAY(A17)-2,3))</f>
        <v/>
      </c>
      <c r="C17" s="8" t="n">
        <v>0.375</v>
      </c>
      <c r="D17" s="8" t="n">
        <v>0.5</v>
      </c>
      <c r="E17" s="9" t="n">
        <v>0.5416666666666666</v>
      </c>
      <c r="F17" s="9" t="n">
        <v>0.75</v>
      </c>
      <c r="G17" s="9" t="n"/>
      <c r="H17" s="9" t="n"/>
      <c r="I17" s="8" t="n"/>
      <c r="J17" s="5">
        <f>(D17-C17+F17-E17+H17-G17)*24</f>
        <v/>
      </c>
      <c r="K17" s="35" t="n"/>
    </row>
    <row r="18">
      <c r="A18" s="7">
        <f>IF(A17&gt;=$D$4,0,IF(A17=0,0,1+A17))</f>
        <v/>
      </c>
      <c r="B18" s="62">
        <f>IF(A18=0,0,MID("DOMSegTerQuaQuiSexSAB",3*WEEKDAY(A18)-2,3))</f>
        <v/>
      </c>
      <c r="C18" s="8" t="n">
        <v>0.3333333333333333</v>
      </c>
      <c r="D18" s="8" t="n">
        <v>0.5</v>
      </c>
      <c r="E18" s="9" t="n">
        <v>0.5416666666666666</v>
      </c>
      <c r="F18" s="9" t="n">
        <v>0.7083333333333334</v>
      </c>
      <c r="G18" s="9" t="n"/>
      <c r="H18" s="9" t="n"/>
      <c r="I18" s="8" t="n"/>
      <c r="J18" s="5">
        <f>(D18-C18+F18-E18+H18-G18)*24</f>
        <v/>
      </c>
      <c r="K18" s="35" t="n"/>
    </row>
    <row r="19">
      <c r="A19" s="7">
        <f>IF(A18&gt;=$D$4,0,IF(A18=0,0,1+A18))</f>
        <v/>
      </c>
      <c r="B19" s="62">
        <f>IF(A19=0,0,MID("DOMSegTerQuaQuiSexSAB",3*WEEKDAY(A19)-2,3))</f>
        <v/>
      </c>
      <c r="C19" s="8" t="n">
        <v>0.375</v>
      </c>
      <c r="D19" s="8" t="n">
        <v>0.5</v>
      </c>
      <c r="E19" s="9" t="n">
        <v>0.5416666666666666</v>
      </c>
      <c r="F19" s="9" t="n">
        <v>0.75</v>
      </c>
      <c r="G19" s="12" t="n"/>
      <c r="H19" s="12" t="n"/>
      <c r="I19" s="11" t="n"/>
      <c r="J19" s="5">
        <f>(D19-C19+F19-E19+H19-G19)*24</f>
        <v/>
      </c>
      <c r="K19" s="36" t="n"/>
    </row>
    <row r="20">
      <c r="A20" s="7">
        <f>IF(A19&gt;=$D$4,0,IF(A19=0,0,1+A19))</f>
        <v/>
      </c>
      <c r="B20" s="62">
        <f>IF(A20=0,0,MID("DOMSegTerQuaQuiSexSAB",3*WEEKDAY(A20)-2,3))</f>
        <v/>
      </c>
      <c r="C20" s="8" t="n"/>
      <c r="D20" s="8" t="n"/>
      <c r="E20" s="9" t="n"/>
      <c r="F20" s="9" t="n"/>
      <c r="G20" s="9" t="n"/>
      <c r="H20" s="9" t="n"/>
      <c r="I20" s="8" t="n"/>
      <c r="J20" s="5">
        <f>(D20-C20+F20-E20+H20-G20)*24</f>
        <v/>
      </c>
      <c r="K20" s="35" t="n"/>
    </row>
    <row r="21">
      <c r="A21" s="7">
        <f>IF(A20&gt;=$D$4,0,IF(A20=0,0,1+A20))</f>
        <v/>
      </c>
      <c r="B21" s="62">
        <f>IF(A21=0,0,MID("DOMSegTerQuaQuiSexSAB",3*WEEKDAY(A21)-2,3))</f>
        <v/>
      </c>
      <c r="C21" s="8" t="n"/>
      <c r="D21" s="8" t="n"/>
      <c r="E21" s="9" t="n"/>
      <c r="F21" s="9" t="n"/>
      <c r="G21" s="9" t="n"/>
      <c r="H21" s="9" t="n"/>
      <c r="I21" s="8" t="n"/>
      <c r="J21" s="5">
        <f>(D21-C21+F21-E21+H21-G21)*24</f>
        <v/>
      </c>
      <c r="K21" s="35" t="n"/>
    </row>
    <row r="22">
      <c r="A22" s="7">
        <f>IF(A21&gt;=$D$4,0,IF(A21=0,0,1+A21))</f>
        <v/>
      </c>
      <c r="B22" s="62">
        <f>IF(A22=0,0,MID("DOMSegTerQuaQuiSexSAB",3*WEEKDAY(A22)-2,3))</f>
        <v/>
      </c>
      <c r="C22" s="8" t="n">
        <v>0.375</v>
      </c>
      <c r="D22" s="8" t="n">
        <v>0.5</v>
      </c>
      <c r="E22" s="9" t="n">
        <v>0.5416666666666666</v>
      </c>
      <c r="F22" s="9" t="n">
        <v>0.75</v>
      </c>
      <c r="G22" s="9" t="n"/>
      <c r="H22" s="9" t="n"/>
      <c r="I22" s="8" t="n"/>
      <c r="J22" s="5">
        <f>(D22-C22+F22-E22+H22-G22)*24</f>
        <v/>
      </c>
      <c r="K22" s="35" t="n"/>
    </row>
    <row r="23">
      <c r="A23" s="7">
        <f>IF(A22&gt;=$D$4,0,IF(A22=0,0,1+A22))</f>
        <v/>
      </c>
      <c r="B23" s="62">
        <f>IF(A23=0,0,MID("DOMSegTerQuaQuiSexSAB",3*WEEKDAY(A23)-2,3))</f>
        <v/>
      </c>
      <c r="C23" s="8" t="n">
        <v>0.375</v>
      </c>
      <c r="D23" s="8" t="n">
        <v>0.5</v>
      </c>
      <c r="E23" s="9" t="n">
        <v>0.5416666666666666</v>
      </c>
      <c r="F23" s="9" t="n">
        <v>0.75</v>
      </c>
      <c r="G23" s="9" t="n"/>
      <c r="H23" s="9" t="n"/>
      <c r="I23" s="8" t="n"/>
      <c r="J23" s="5">
        <f>(D23-C23+F23-E23+H23-G23)*24</f>
        <v/>
      </c>
      <c r="K23" s="35" t="n"/>
    </row>
    <row r="24">
      <c r="A24" s="13">
        <f>IF(A23&gt;=$D$4,0,IF(A23=0,0,1+A23))</f>
        <v/>
      </c>
      <c r="B24" s="62">
        <f>IF(A24=0,0,MID("DOMSegTerQuaQuiSexSAB",3*WEEKDAY(A24)-2,3))</f>
        <v/>
      </c>
      <c r="C24" s="8" t="n">
        <v>0.3333333333333333</v>
      </c>
      <c r="D24" s="8" t="n">
        <v>0.5</v>
      </c>
      <c r="E24" s="9" t="n">
        <v>0.5416666666666666</v>
      </c>
      <c r="F24" s="9" t="n">
        <v>0.7083333333333334</v>
      </c>
      <c r="G24" s="9" t="n"/>
      <c r="H24" s="9" t="n"/>
      <c r="I24" s="8" t="n"/>
      <c r="J24" s="5">
        <f>(D24-C24+F24-E24+H24-G24)*24</f>
        <v/>
      </c>
      <c r="K24" s="35" t="n"/>
    </row>
    <row r="25">
      <c r="A25" s="13">
        <f>IF(A24&gt;=$D$4,0,IF(A24=0,0,1+A24))</f>
        <v/>
      </c>
      <c r="B25" s="62">
        <f>IF(A25=0,0,MID("DOMSegTerQuaQuiSexSAB",3*WEEKDAY(A25)-2,3))</f>
        <v/>
      </c>
      <c r="C25" s="8" t="n"/>
      <c r="D25" s="8" t="n"/>
      <c r="E25" s="9" t="n"/>
      <c r="F25" s="9" t="n"/>
      <c r="G25" s="9" t="n"/>
      <c r="H25" s="9" t="n"/>
      <c r="I25" s="8" t="n"/>
      <c r="J25" s="5">
        <f>(D25-C25+F25-E25+H25-G25)*24</f>
        <v/>
      </c>
      <c r="K25" s="35" t="n"/>
    </row>
    <row r="26">
      <c r="A26" s="7">
        <f>IF(A25&gt;=$D$4,0,IF(A25=0,0,1+A25))</f>
        <v/>
      </c>
      <c r="B26" s="62">
        <f>IF(A26=0,0,MID("DOMSegTerQuaQuiSexSAB",3*WEEKDAY(A26)-2,3))</f>
        <v/>
      </c>
      <c r="C26" s="8" t="n"/>
      <c r="D26" s="8" t="n"/>
      <c r="E26" s="9" t="n"/>
      <c r="F26" s="9" t="n"/>
      <c r="G26" s="9" t="n"/>
      <c r="H26" s="9" t="n"/>
      <c r="I26" s="8" t="n"/>
      <c r="J26" s="5">
        <f>(D26-C26+F26-E26+H26-G26)*24</f>
        <v/>
      </c>
      <c r="K26" s="35" t="n"/>
    </row>
    <row r="27">
      <c r="A27" s="7">
        <f>IF(A26&gt;=$D$4,0,IF(A26=0,0,1+A26))</f>
        <v/>
      </c>
      <c r="B27" s="62">
        <f>IF(A27=0,0,MID("DOMSegTerQuaQuiSexSAB",3*WEEKDAY(A27)-2,3))</f>
        <v/>
      </c>
      <c r="C27" s="8" t="n"/>
      <c r="D27" s="8" t="n"/>
      <c r="E27" s="9" t="n"/>
      <c r="F27" s="9" t="n"/>
      <c r="G27" s="14" t="n"/>
      <c r="H27" s="9" t="n"/>
      <c r="I27" s="8" t="n"/>
      <c r="J27" s="5">
        <f>(D27-C27+F27-E27+H27-G27)*24</f>
        <v/>
      </c>
      <c r="K27" s="37" t="n"/>
    </row>
    <row r="28">
      <c r="A28" s="7">
        <f>IF(A27&gt;=$D$4,0,IF(A27=0,0,1+A27))</f>
        <v/>
      </c>
      <c r="B28" s="62">
        <f>IF(A28=0,0,MID("DOMSegTerQuaQuiSexSAB",3*WEEKDAY(A28)-2,3))</f>
        <v/>
      </c>
      <c r="C28" s="8" t="n"/>
      <c r="D28" s="8" t="n"/>
      <c r="E28" s="9" t="n"/>
      <c r="F28" s="9" t="n"/>
      <c r="G28" s="9" t="n"/>
      <c r="H28" s="9" t="n"/>
      <c r="I28" s="8" t="n"/>
      <c r="J28" s="5">
        <f>(D28-C28+F28-E28+H28-G28)*24</f>
        <v/>
      </c>
      <c r="K28" s="35" t="n"/>
    </row>
    <row r="29">
      <c r="A29" s="7">
        <f>IF(A28&gt;=$D$4,0,IF(A28=0,0,1+A28))</f>
        <v/>
      </c>
      <c r="B29" s="62">
        <f>IF(A29=0,0,MID("DOMSegTerQuaQuiSexSAB",3*WEEKDAY(A29)-2,3))</f>
        <v/>
      </c>
      <c r="C29" s="8" t="n"/>
      <c r="D29" s="8" t="n"/>
      <c r="E29" s="9" t="n"/>
      <c r="F29" s="9" t="n"/>
      <c r="G29" s="9" t="n"/>
      <c r="H29" s="9" t="n"/>
      <c r="I29" s="8" t="n"/>
      <c r="J29" s="5">
        <f>(D29-C29+F29-E29+H29-G29)*24</f>
        <v/>
      </c>
      <c r="K29" s="35" t="n"/>
    </row>
    <row r="30">
      <c r="A30" s="7">
        <f>IF(A29&gt;=$D$4,0,IF(A29=0,0,1+A29))</f>
        <v/>
      </c>
      <c r="B30" s="62">
        <f>IF(A30=0,0,MID("DOMSegTerQuaQuiSexSAB",3*WEEKDAY(A30)-2,3))</f>
        <v/>
      </c>
      <c r="C30" s="8" t="n"/>
      <c r="D30" s="8" t="n"/>
      <c r="E30" s="9" t="n"/>
      <c r="F30" s="9" t="n"/>
      <c r="G30" s="9" t="n"/>
      <c r="H30" s="9" t="n"/>
      <c r="I30" s="8" t="n"/>
      <c r="J30" s="5">
        <f>(D30-C30+F30-E30+H30-G30)*24</f>
        <v/>
      </c>
      <c r="K30" s="35" t="n"/>
    </row>
    <row r="31">
      <c r="A31" s="7">
        <f>IF(A30&gt;=$D$4,0,IF(A30=0,0,1+A30))</f>
        <v/>
      </c>
      <c r="B31" s="62">
        <f>IF(A31=0,0,MID("DOMSegTerQuaQuiSexSAB",3*WEEKDAY(A31)-2,3))</f>
        <v/>
      </c>
      <c r="C31" s="8" t="n"/>
      <c r="D31" s="8" t="n"/>
      <c r="E31" s="9" t="n"/>
      <c r="F31" s="9" t="n"/>
      <c r="G31" s="9" t="n"/>
      <c r="H31" s="9" t="n"/>
      <c r="I31" s="8" t="n"/>
      <c r="J31" s="5">
        <f>(D31-C31+F31-E31+H31-G31)*24</f>
        <v/>
      </c>
      <c r="K31" s="35" t="n"/>
    </row>
    <row r="32">
      <c r="A32" s="7">
        <f>IF(A31&gt;=$D$4,0,IF(A31=0,0,1+A31))</f>
        <v/>
      </c>
      <c r="B32" s="62">
        <f>IF(A32=0,0,MID("DOMSegTerQuaQuiSexSAB",3*WEEKDAY(A32)-2,3))</f>
        <v/>
      </c>
      <c r="C32" s="8" t="n"/>
      <c r="D32" s="8" t="n"/>
      <c r="E32" s="9" t="n"/>
      <c r="F32" s="9" t="n"/>
      <c r="G32" s="9" t="n"/>
      <c r="H32" s="9" t="n"/>
      <c r="I32" s="8" t="n"/>
      <c r="J32" s="5">
        <f>(D32-C32+F32-E32+H32-G32)*24</f>
        <v/>
      </c>
      <c r="K32" s="35" t="n"/>
    </row>
    <row r="33">
      <c r="A33" s="7">
        <f>IF(A32&gt;=$D$4,0,IF(A32=0,0,1+A32))</f>
        <v/>
      </c>
      <c r="B33" s="62">
        <f>IF(A33=0,0,MID("DOMSegTerQuaQuiSexSAB",3*WEEKDAY(A33)-2,3))</f>
        <v/>
      </c>
      <c r="C33" s="8" t="n"/>
      <c r="D33" s="8" t="n"/>
      <c r="E33" s="9" t="n"/>
      <c r="F33" s="9" t="n"/>
      <c r="G33" s="9" t="n"/>
      <c r="H33" s="9" t="n"/>
      <c r="I33" s="8" t="n"/>
      <c r="J33" s="5">
        <f>(D33-C33+F33-E33+H33-G33)*24</f>
        <v/>
      </c>
      <c r="K33" s="35" t="n"/>
    </row>
    <row r="34">
      <c r="A34" s="7">
        <f>IF(A33&gt;=$D$4,0,IF(A33=0,0,1+A33))</f>
        <v/>
      </c>
      <c r="B34" s="62">
        <f>IF(A34=0,0,MID("DOMSegTerQuaQuiSexSAB",3*WEEKDAY(A34)-2,3))</f>
        <v/>
      </c>
      <c r="C34" s="8" t="n"/>
      <c r="D34" s="8" t="n"/>
      <c r="E34" s="9" t="n"/>
      <c r="F34" s="9" t="n"/>
      <c r="G34" s="9" t="n"/>
      <c r="H34" s="9" t="n"/>
      <c r="I34" s="8" t="n"/>
      <c r="J34" s="5">
        <f>(D34-C34+F34-E34+H34-G34)*24</f>
        <v/>
      </c>
      <c r="K34" s="35" t="n"/>
    </row>
    <row r="35">
      <c r="A35" s="7">
        <f>IF(A34&gt;=$D$4,0,IF(A34=0,0,1+A34))</f>
        <v/>
      </c>
      <c r="B35" s="62">
        <f>IF(A35=0,0,MID("DOMSegTerQuaQuiSexSAB",3*WEEKDAY(A35)-2,3))</f>
        <v/>
      </c>
      <c r="C35" s="8" t="n"/>
      <c r="D35" s="8" t="n"/>
      <c r="E35" s="9" t="n"/>
      <c r="F35" s="9" t="n"/>
      <c r="G35" s="9" t="n"/>
      <c r="H35" s="9" t="n"/>
      <c r="I35" s="8" t="n"/>
      <c r="J35" s="5">
        <f>(D35-C35+F35-E35+H35-G35)*24</f>
        <v/>
      </c>
      <c r="K35" s="35" t="n"/>
    </row>
    <row r="36">
      <c r="A36" s="7">
        <f>IF(A35&gt;=$D$4,0,IF(A35=0,0,1+A35))</f>
        <v/>
      </c>
      <c r="B36" s="62">
        <f>IF(A36=0,0,MID("DOMSegTerQuaQuiSexSAB",3*WEEKDAY(A36)-2,3))</f>
        <v/>
      </c>
      <c r="C36" s="8" t="n"/>
      <c r="D36" s="8" t="n"/>
      <c r="E36" s="9" t="n"/>
      <c r="F36" s="9" t="n"/>
      <c r="G36" s="9" t="n"/>
      <c r="H36" s="9" t="n"/>
      <c r="I36" s="8" t="n"/>
      <c r="J36" s="5">
        <f>(D36-C36+F36-E36+H36-G36)*24</f>
        <v/>
      </c>
      <c r="K36" s="35" t="n"/>
    </row>
    <row r="37">
      <c r="A37" s="7">
        <f>IF(A36&gt;=$D$4,0,IF(A36=0,0,1+A36))</f>
        <v/>
      </c>
      <c r="B37" s="62">
        <f>IF(A37=0,0,MID("DOMSegTerQuaQuiSexSAB",3*WEEKDAY(A37)-2,3))</f>
        <v/>
      </c>
      <c r="C37" s="8" t="n"/>
      <c r="D37" s="8" t="n"/>
      <c r="E37" s="9" t="n"/>
      <c r="F37" s="9" t="n"/>
      <c r="G37" s="9" t="n"/>
      <c r="H37" s="9" t="n"/>
      <c r="I37" s="8" t="n"/>
      <c r="J37" s="5">
        <f>(D37-C37+F37-E37+H37-G37)*24</f>
        <v/>
      </c>
      <c r="K37" s="35" t="n"/>
    </row>
    <row r="38">
      <c r="A38" s="7">
        <f>IF(A37&gt;=$D$4,0,IF(A37=0,0,1+A37))</f>
        <v/>
      </c>
      <c r="B38" s="62">
        <f>IF(A38=0,0,MID("DOMSegTerQuaQuiSexSAB",3*WEEKDAY(A38)-2,3))</f>
        <v/>
      </c>
      <c r="C38" s="8" t="n"/>
      <c r="D38" s="8" t="n"/>
      <c r="E38" s="9" t="n"/>
      <c r="F38" s="9" t="n"/>
      <c r="G38" s="9" t="n"/>
      <c r="H38" s="9" t="n"/>
      <c r="I38" s="8" t="n"/>
      <c r="J38" s="5">
        <f>(D38-C38+F38-E38+H38-G38)*24</f>
        <v/>
      </c>
      <c r="K38" s="35" t="n"/>
    </row>
    <row r="39">
      <c r="A39" s="7">
        <f>IF(A38&gt;=$D$4,0,IF(A38=0,0,1+A38))</f>
        <v/>
      </c>
      <c r="B39" s="62">
        <f>IF(A39=0,0,MID("DOMSegTerQuaQuiSexSAB",3*WEEKDAY(A39)-2,3))</f>
        <v/>
      </c>
      <c r="C39" s="8" t="n"/>
      <c r="D39" s="8" t="n"/>
      <c r="E39" s="9" t="n"/>
      <c r="F39" s="9" t="n"/>
      <c r="G39" s="9" t="n"/>
      <c r="H39" s="9" t="n"/>
      <c r="I39" s="8" t="n"/>
      <c r="J39" s="5">
        <f>(D39-C39+F39-E39+H39-G39)*24</f>
        <v/>
      </c>
      <c r="K39" s="35" t="n"/>
    </row>
    <row r="40">
      <c r="A40" s="7">
        <f>IF(A39&gt;=$D$4,0,IF(A39=0,0,1+A39))</f>
        <v/>
      </c>
      <c r="B40" s="62">
        <f>IF(A40=0,0,MID("DOMSegTerQuaQuiSexSAB",3*WEEKDAY(A40)-2,3))</f>
        <v/>
      </c>
      <c r="C40" s="8" t="n"/>
      <c r="D40" s="8" t="n"/>
      <c r="E40" s="9" t="n"/>
      <c r="F40" s="9" t="n"/>
      <c r="G40" s="9" t="n"/>
      <c r="H40" s="9" t="n"/>
      <c r="I40" s="8" t="n"/>
      <c r="J40" s="5">
        <f>(D40-C40+F40-E40+H40-G40)*24</f>
        <v/>
      </c>
      <c r="K40" s="35" t="n"/>
    </row>
    <row r="41">
      <c r="A41" s="7">
        <f>IF(A40&gt;=$D$4,0,IF(A40=0,0,1+A40))</f>
        <v/>
      </c>
      <c r="B41" s="33">
        <f>IF(A41=0,0,MID("DOMSegTerQuaQuiSexSAB",3*WEEKDAY(A41)-2,3))</f>
        <v/>
      </c>
      <c r="C41" s="8" t="n"/>
      <c r="D41" s="8" t="n"/>
      <c r="E41" s="9" t="n"/>
      <c r="F41" s="9" t="n"/>
      <c r="G41" s="9" t="n"/>
      <c r="H41" s="9" t="n"/>
      <c r="I41" s="8" t="n"/>
      <c r="J41" s="5">
        <f>(D41-C41+F41-E41+H41-G41)*24</f>
        <v/>
      </c>
      <c r="K41" s="35" t="n"/>
    </row>
    <row r="42">
      <c r="A42" s="7">
        <f>IF(A41&gt;=$D$4,0,IF(A41=0,0,1+A41))</f>
        <v/>
      </c>
      <c r="B42" s="62">
        <f>IF(A42=0,0,MID("DOMSegTerQuaQuiSexSAB",3*WEEKDAY(A42)-2,3))</f>
        <v/>
      </c>
      <c r="C42" s="8" t="n"/>
      <c r="D42" s="8" t="n"/>
      <c r="E42" s="9" t="n"/>
      <c r="F42" s="9" t="n"/>
      <c r="G42" s="9" t="n"/>
      <c r="H42" s="9" t="n"/>
      <c r="I42" s="8" t="n"/>
      <c r="J42" s="5">
        <f>(D42-C42+F42-E42+H42-G42)*24</f>
        <v/>
      </c>
      <c r="K42" s="35" t="n"/>
    </row>
    <row r="43" ht="13" customHeight="1" thickBot="1">
      <c r="A43" s="7">
        <f>IF(A42&gt;=$D$4,0,IF(A42=0,0,1+A42))</f>
        <v/>
      </c>
      <c r="B43" s="62">
        <f>IF(A43=0,0,MID("DOMSegTerQuaQuiSexSAB",3*WEEKDAY(A43)-2,3))</f>
        <v/>
      </c>
      <c r="C43" s="8" t="n"/>
      <c r="D43" s="8" t="n"/>
      <c r="E43" s="8" t="n"/>
      <c r="F43" s="9" t="n"/>
      <c r="G43" s="9" t="n"/>
      <c r="H43" s="9" t="n"/>
      <c r="I43" s="8" t="n"/>
      <c r="J43" s="5">
        <f>(D43-C43+F43-E43+H43-G43)*24</f>
        <v/>
      </c>
      <c r="K43" s="35" t="n"/>
    </row>
    <row r="44" ht="15" customHeight="1" thickBot="1">
      <c r="C44" s="15" t="n"/>
      <c r="D44" s="15" t="n"/>
      <c r="E44" s="15" t="n"/>
      <c r="F44" s="15" t="n"/>
      <c r="G44" s="15" t="n"/>
      <c r="H44" s="15" t="n"/>
      <c r="I44" s="15" t="n"/>
      <c r="J44" s="18">
        <f>SUM(J$13:J$43)</f>
        <v/>
      </c>
    </row>
    <row r="45" ht="13.25" customHeight="1">
      <c r="C45" s="15" t="n"/>
      <c r="D45" s="15" t="n"/>
      <c r="E45" s="15" t="n"/>
      <c r="F45" s="15" t="n"/>
      <c r="G45" s="15" t="n"/>
      <c r="H45" s="15" t="n"/>
      <c r="I45" s="15" t="n"/>
    </row>
  </sheetData>
  <mergeCells count="7">
    <mergeCell ref="C4:C5"/>
    <mergeCell ref="D5:E5"/>
    <mergeCell ref="H5:I5"/>
    <mergeCell ref="D4:E4"/>
    <mergeCell ref="H4:I4"/>
    <mergeCell ref="A1:K2"/>
    <mergeCell ref="A12:B12"/>
  </mergeCells>
  <conditionalFormatting sqref="B13:B43">
    <cfRule type="containsText" priority="1" operator="containsText" dxfId="30" text="DOM">
      <formula>NOT(ISERROR(SEARCH("DOM",B13)))</formula>
    </cfRule>
    <cfRule type="containsText" priority="2" operator="containsText" dxfId="30" text="SAB">
      <formula>NOT(ISERROR(SEARCH("SAB",B13)))</formula>
    </cfRule>
  </conditionalFormatting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zoomScale="90" zoomScaleNormal="90" workbookViewId="0">
      <selection activeCell="B33" sqref="B33"/>
    </sheetView>
  </sheetViews>
  <sheetFormatPr baseColWidth="10" defaultColWidth="9.796875" defaultRowHeight="12"/>
  <cols>
    <col width="9.796875" customWidth="1" style="4" min="1" max="9"/>
    <col width="12" customWidth="1" style="2" min="10" max="10"/>
    <col width="27.796875" bestFit="1" customWidth="1" style="4" min="11" max="11"/>
    <col width="9.796875" customWidth="1" style="4" min="12" max="16384"/>
  </cols>
  <sheetData>
    <row r="1" ht="12.75" customHeight="1">
      <c r="A1" s="75" t="inlineStr">
        <is>
          <t>HORAS DE SERVIÇO</t>
        </is>
      </c>
    </row>
    <row r="2" ht="11.25" customHeight="1"/>
    <row r="3" ht="13" customHeight="1" thickBot="1"/>
    <row r="4" ht="26" customHeight="1" thickBot="1">
      <c r="A4" s="1" t="inlineStr">
        <is>
          <t>Período:</t>
        </is>
      </c>
      <c r="B4" s="89" t="n">
        <v>45748</v>
      </c>
      <c r="C4" s="72" t="inlineStr">
        <is>
          <t>a</t>
        </is>
      </c>
      <c r="D4" s="90" t="n">
        <v>45777</v>
      </c>
      <c r="E4" s="91" t="n"/>
      <c r="H4" s="32" t="inlineStr">
        <is>
          <t>Total de horas úteis</t>
        </is>
      </c>
      <c r="I4" s="92" t="n"/>
      <c r="J4" s="32" t="inlineStr">
        <is>
          <t>Saldo</t>
        </is>
      </c>
    </row>
    <row r="5" ht="13.5" customHeight="1" thickBot="1">
      <c r="B5" s="93">
        <f>B4</f>
        <v/>
      </c>
      <c r="C5" s="94" t="n"/>
      <c r="D5" s="95">
        <f>D4</f>
        <v/>
      </c>
      <c r="E5" s="96" t="n"/>
      <c r="H5" s="97">
        <f>20*8</f>
        <v/>
      </c>
      <c r="I5" s="92" t="n"/>
      <c r="J5" s="31">
        <f>J43-H5</f>
        <v/>
      </c>
    </row>
    <row r="6">
      <c r="C6" s="6" t="n"/>
      <c r="E6" s="6" t="n"/>
      <c r="H6" s="28" t="n"/>
      <c r="I6" s="29" t="n"/>
      <c r="J6" s="29" t="n"/>
      <c r="K6" s="30" t="n"/>
    </row>
    <row r="7">
      <c r="C7" s="6" t="n"/>
      <c r="E7" s="6" t="n"/>
      <c r="G7" s="25" t="n"/>
      <c r="H7" s="2" t="n"/>
      <c r="I7" s="2" t="n"/>
      <c r="J7" s="26" t="n"/>
    </row>
    <row r="8" ht="18.75" customHeight="1">
      <c r="A8" s="27" t="inlineStr">
        <is>
          <t xml:space="preserve">Nome:  </t>
        </is>
      </c>
      <c r="B8" s="38">
        <f>'Março - 2025'!B8</f>
        <v/>
      </c>
      <c r="C8" s="39" t="n"/>
      <c r="D8" s="39" t="n"/>
      <c r="E8" s="39" t="n"/>
      <c r="F8" s="40" t="n"/>
      <c r="G8" s="3" t="n"/>
      <c r="H8" s="3" t="n"/>
      <c r="I8" s="3" t="n"/>
      <c r="J8" s="3" t="n"/>
    </row>
    <row r="9" ht="16.5" customHeight="1">
      <c r="A9" s="27" t="inlineStr">
        <is>
          <t xml:space="preserve">Projeto: </t>
        </is>
      </c>
      <c r="B9" s="57">
        <f>'Março - 2025'!B9</f>
        <v/>
      </c>
      <c r="C9" s="58" t="n"/>
      <c r="D9" s="58" t="n"/>
      <c r="E9" s="58" t="n"/>
      <c r="F9" s="59" t="n"/>
      <c r="G9" s="3" t="n"/>
      <c r="H9" s="3" t="n"/>
      <c r="I9" s="3" t="n"/>
      <c r="J9" s="3" t="n"/>
    </row>
    <row r="10">
      <c r="A10" s="1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4" t="n"/>
    </row>
    <row r="11" ht="15" customHeight="1"/>
    <row r="12" ht="18.75" customHeight="1">
      <c r="A12" s="71" t="inlineStr">
        <is>
          <t>Dia</t>
        </is>
      </c>
      <c r="B12" s="98" t="n"/>
      <c r="C12" s="71" t="inlineStr">
        <is>
          <t>Entr.</t>
        </is>
      </c>
      <c r="D12" s="21" t="inlineStr">
        <is>
          <t>Saída</t>
        </is>
      </c>
      <c r="E12" s="22" t="inlineStr">
        <is>
          <t>Entr.</t>
        </is>
      </c>
      <c r="F12" s="23" t="inlineStr">
        <is>
          <t>Saída</t>
        </is>
      </c>
      <c r="G12" s="71" t="inlineStr">
        <is>
          <t>Entr.</t>
        </is>
      </c>
      <c r="H12" s="21" t="inlineStr">
        <is>
          <t>Saída</t>
        </is>
      </c>
      <c r="I12" s="70" t="inlineStr">
        <is>
          <t>Projeto</t>
        </is>
      </c>
      <c r="J12" s="24" t="inlineStr">
        <is>
          <t>Geral</t>
        </is>
      </c>
      <c r="K12" s="24" t="inlineStr">
        <is>
          <t>Observações</t>
        </is>
      </c>
    </row>
    <row r="13">
      <c r="A13" s="20">
        <f>B4</f>
        <v/>
      </c>
      <c r="B13" s="61">
        <f>IF(A13=0,0,MID("DOMSegTerQuaQuiSexSAB",3*WEEKDAY(A13)-2,3))</f>
        <v/>
      </c>
      <c r="C13" s="8" t="n"/>
      <c r="D13" s="8" t="n"/>
      <c r="E13" s="9" t="n"/>
      <c r="F13" s="9" t="n"/>
      <c r="G13" s="9" t="n"/>
      <c r="H13" s="9" t="n"/>
      <c r="I13" s="8" t="n"/>
      <c r="J13" s="5">
        <f>(D13-C13+F13-E13+H13-G13)*24</f>
        <v/>
      </c>
      <c r="K13" s="35" t="n"/>
    </row>
    <row r="14">
      <c r="A14" s="7">
        <f>IF(A13&gt;=$D$4,0,IF(A13=0,0,1+A13))</f>
        <v/>
      </c>
      <c r="B14" s="62">
        <f>IF(A14=0,0,MID("DOMSegTerQuaQuiSexSAB",3*WEEKDAY(A14)-2,3))</f>
        <v/>
      </c>
      <c r="C14" s="8" t="n"/>
      <c r="D14" s="8" t="n"/>
      <c r="E14" s="9" t="n"/>
      <c r="F14" s="9" t="n"/>
      <c r="G14" s="9" t="n"/>
      <c r="H14" s="9" t="n"/>
      <c r="I14" s="8" t="n"/>
      <c r="J14" s="5">
        <f>(D14-C14+F14-E14+H14-G14)*24</f>
        <v/>
      </c>
      <c r="K14" s="35" t="n"/>
    </row>
    <row r="15">
      <c r="A15" s="7">
        <f>IF(A14&gt;=$D$4,0,IF(A14=0,0,1+A14))</f>
        <v/>
      </c>
      <c r="B15" s="62">
        <f>IF(A15=0,0,MID("DOMSegTerQuaQuiSexSAB",3*WEEKDAY(A15)-2,3))</f>
        <v/>
      </c>
      <c r="C15" s="8" t="n"/>
      <c r="D15" s="8" t="n"/>
      <c r="E15" s="9" t="n"/>
      <c r="F15" s="9" t="n"/>
      <c r="G15" s="9" t="n"/>
      <c r="H15" s="9" t="n"/>
      <c r="I15" s="8" t="n"/>
      <c r="J15" s="5">
        <f>(D15-C15+F15-E15+H15-G15)*24</f>
        <v/>
      </c>
      <c r="K15" s="35" t="n"/>
    </row>
    <row r="16">
      <c r="A16" s="7">
        <f>IF(A15&gt;=$D$4,0,IF(A15=0,0,1+A15))</f>
        <v/>
      </c>
      <c r="B16" s="62">
        <f>IF(A16=0,0,MID("DOMSegTerQuaQuiSexSAB",3*WEEKDAY(A16)-2,3))</f>
        <v/>
      </c>
      <c r="C16" s="8" t="n"/>
      <c r="D16" s="8" t="n"/>
      <c r="E16" s="9" t="n"/>
      <c r="F16" s="9" t="n"/>
      <c r="G16" s="9" t="n"/>
      <c r="H16" s="9" t="n"/>
      <c r="I16" s="8" t="n"/>
      <c r="J16" s="5">
        <f>(D16-C16+F16-E16+H16-G16)*24</f>
        <v/>
      </c>
      <c r="K16" s="35" t="n"/>
    </row>
    <row r="17">
      <c r="A17" s="7">
        <f>IF(A16&gt;=$D$4,0,IF(A16=0,0,1+A16))</f>
        <v/>
      </c>
      <c r="B17" s="62">
        <f>IF(A17=0,0,MID("DOMSegTerQuaQuiSexSAB",3*WEEKDAY(A17)-2,3))</f>
        <v/>
      </c>
      <c r="C17" s="8" t="n"/>
      <c r="D17" s="8" t="n"/>
      <c r="E17" s="9" t="n"/>
      <c r="F17" s="9" t="n"/>
      <c r="G17" s="9" t="n"/>
      <c r="H17" s="9" t="n"/>
      <c r="I17" s="8" t="n"/>
      <c r="J17" s="5">
        <f>(D17-C17+F17-E17+H17-G17)*24</f>
        <v/>
      </c>
      <c r="K17" s="35" t="n"/>
    </row>
    <row r="18">
      <c r="A18" s="7">
        <f>IF(A17&gt;=$D$4,0,IF(A17=0,0,1+A17))</f>
        <v/>
      </c>
      <c r="B18" s="62">
        <f>IF(A18=0,0,MID("DOMSegTerQuaQuiSexSAB",3*WEEKDAY(A18)-2,3))</f>
        <v/>
      </c>
      <c r="C18" s="8" t="n"/>
      <c r="D18" s="8" t="n"/>
      <c r="E18" s="9" t="n"/>
      <c r="F18" s="9" t="n"/>
      <c r="G18" s="9" t="n"/>
      <c r="H18" s="9" t="n"/>
      <c r="I18" s="8" t="n"/>
      <c r="J18" s="5">
        <f>(D18-C18+F18-E18+H18-G18)*24</f>
        <v/>
      </c>
      <c r="K18" s="35" t="n"/>
    </row>
    <row r="19">
      <c r="A19" s="7">
        <f>IF(A18&gt;=$D$4,0,IF(A18=0,0,1+A18))</f>
        <v/>
      </c>
      <c r="B19" s="62">
        <f>IF(A19=0,0,MID("DOMSegTerQuaQuiSexSAB",3*WEEKDAY(A19)-2,3))</f>
        <v/>
      </c>
      <c r="C19" s="11" t="n"/>
      <c r="D19" s="11" t="n"/>
      <c r="E19" s="12" t="n"/>
      <c r="F19" s="12" t="n"/>
      <c r="G19" s="12" t="n"/>
      <c r="H19" s="12" t="n"/>
      <c r="I19" s="11" t="n"/>
      <c r="J19" s="5">
        <f>(D19-C19+F19-E19+H19-G19)*24</f>
        <v/>
      </c>
      <c r="K19" s="36" t="n"/>
    </row>
    <row r="20">
      <c r="A20" s="7">
        <f>IF(A19&gt;=$D$4,0,IF(A19=0,0,1+A19))</f>
        <v/>
      </c>
      <c r="B20" s="62">
        <f>IF(A20=0,0,MID("DOMSegTerQuaQuiSexSAB",3*WEEKDAY(A20)-2,3))</f>
        <v/>
      </c>
      <c r="C20" s="8" t="n"/>
      <c r="D20" s="8" t="n"/>
      <c r="E20" s="9" t="n"/>
      <c r="F20" s="9" t="n"/>
      <c r="G20" s="9" t="n"/>
      <c r="H20" s="9" t="n"/>
      <c r="I20" s="8" t="n"/>
      <c r="J20" s="5">
        <f>(D20-C20+F20-E20+H20-G20)*24</f>
        <v/>
      </c>
      <c r="K20" s="35" t="n"/>
    </row>
    <row r="21">
      <c r="A21" s="7">
        <f>IF(A20&gt;=$D$4,0,IF(A20=0,0,1+A20))</f>
        <v/>
      </c>
      <c r="B21" s="62">
        <f>IF(A21=0,0,MID("DOMSegTerQuaQuiSexSAB",3*WEEKDAY(A21)-2,3))</f>
        <v/>
      </c>
      <c r="C21" s="8" t="n"/>
      <c r="D21" s="8" t="n"/>
      <c r="E21" s="9" t="n"/>
      <c r="F21" s="9" t="n"/>
      <c r="G21" s="9" t="n"/>
      <c r="H21" s="9" t="n"/>
      <c r="I21" s="8" t="n"/>
      <c r="J21" s="5">
        <f>(D21-C21+F21-E21+H21-G21)*24</f>
        <v/>
      </c>
      <c r="K21" s="35" t="n"/>
    </row>
    <row r="22">
      <c r="A22" s="7">
        <f>IF(A21&gt;=$D$4,0,IF(A21=0,0,1+A21))</f>
        <v/>
      </c>
      <c r="B22" s="62">
        <f>IF(A22=0,0,MID("DOMSegTerQuaQuiSexSAB",3*WEEKDAY(A22)-2,3))</f>
        <v/>
      </c>
      <c r="C22" s="8" t="n"/>
      <c r="D22" s="8" t="n"/>
      <c r="E22" s="9" t="n"/>
      <c r="F22" s="9" t="n"/>
      <c r="G22" s="9" t="n"/>
      <c r="H22" s="9" t="n"/>
      <c r="I22" s="8" t="n"/>
      <c r="J22" s="5">
        <f>(D22-C22+F22-E22+H22-G22)*24</f>
        <v/>
      </c>
      <c r="K22" s="35" t="n"/>
    </row>
    <row r="23">
      <c r="A23" s="7">
        <f>IF(A22&gt;=$D$4,0,IF(A22=0,0,1+A22))</f>
        <v/>
      </c>
      <c r="B23" s="62">
        <f>IF(A23=0,0,MID("DOMSegTerQuaQuiSexSAB",3*WEEKDAY(A23)-2,3))</f>
        <v/>
      </c>
      <c r="C23" s="8" t="n"/>
      <c r="D23" s="8" t="n"/>
      <c r="E23" s="9" t="n"/>
      <c r="F23" s="9" t="n"/>
      <c r="G23" s="9" t="n"/>
      <c r="H23" s="9" t="n"/>
      <c r="I23" s="8" t="n"/>
      <c r="J23" s="5">
        <f>(D23-C23+F23-E23+H23-G23)*24</f>
        <v/>
      </c>
      <c r="K23" s="35" t="n"/>
    </row>
    <row r="24">
      <c r="A24" s="13">
        <f>IF(A23&gt;=$D$4,0,IF(A23=0,0,1+A23))</f>
        <v/>
      </c>
      <c r="B24" s="63">
        <f>IF(A24=0,0,MID("DOMSegTerQuaQuiSexSAB",3*WEEKDAY(A24)-2,3))</f>
        <v/>
      </c>
      <c r="C24" s="8" t="n"/>
      <c r="D24" s="8" t="n"/>
      <c r="E24" s="9" t="n"/>
      <c r="F24" s="9" t="n"/>
      <c r="G24" s="9" t="n"/>
      <c r="H24" s="9" t="n"/>
      <c r="I24" s="8" t="n"/>
      <c r="J24" s="5">
        <f>(D24-C24+F24-E24+H24-G24)*24</f>
        <v/>
      </c>
      <c r="K24" s="35" t="n"/>
    </row>
    <row r="25">
      <c r="A25" s="13">
        <f>IF(A24&gt;=$D$4,0,IF(A24=0,0,1+A24))</f>
        <v/>
      </c>
      <c r="B25" s="63">
        <f>IF(A25=0,0,MID("DOMSegTerQuaQuiSexSAB",3*WEEKDAY(A25)-2,3))</f>
        <v/>
      </c>
      <c r="C25" s="8" t="n"/>
      <c r="D25" s="8" t="n"/>
      <c r="E25" s="9" t="n"/>
      <c r="F25" s="9" t="n"/>
      <c r="G25" s="9" t="n"/>
      <c r="H25" s="9" t="n"/>
      <c r="I25" s="8" t="n"/>
      <c r="J25" s="5">
        <f>(D25-C25+F25-E25+H25-G25)*24</f>
        <v/>
      </c>
      <c r="K25" s="35" t="n"/>
    </row>
    <row r="26">
      <c r="A26" s="7">
        <f>IF(A25&gt;=$D$4,0,IF(A25=0,0,1+A25))</f>
        <v/>
      </c>
      <c r="B26" s="62">
        <f>IF(A26=0,0,MID("DOMSegTerQuaQuiSexSAB",3*WEEKDAY(A26)-2,3))</f>
        <v/>
      </c>
      <c r="C26" s="8" t="n"/>
      <c r="D26" s="8" t="n"/>
      <c r="E26" s="9" t="n"/>
      <c r="F26" s="9" t="n"/>
      <c r="G26" s="9" t="n"/>
      <c r="H26" s="9" t="n"/>
      <c r="I26" s="8" t="n"/>
      <c r="J26" s="5">
        <f>(D26-C26+F26-E26+H26-G26)*24</f>
        <v/>
      </c>
      <c r="K26" s="35" t="n"/>
    </row>
    <row r="27">
      <c r="A27" s="7">
        <f>IF(A26&gt;=$D$4,0,IF(A26=0,0,1+A26))</f>
        <v/>
      </c>
      <c r="B27" s="62">
        <f>IF(A27=0,0,MID("DOMSegTerQuaQuiSexSAB",3*WEEKDAY(A27)-2,3))</f>
        <v/>
      </c>
      <c r="C27" s="11" t="n"/>
      <c r="D27" s="11" t="n"/>
      <c r="E27" s="12" t="n"/>
      <c r="F27" s="12" t="n"/>
      <c r="G27" s="55" t="n"/>
      <c r="H27" s="9" t="n"/>
      <c r="I27" s="8" t="n"/>
      <c r="J27" s="5">
        <f>(D27-C27+F27-E27+H27-G27)*24</f>
        <v/>
      </c>
      <c r="K27" s="37" t="n"/>
    </row>
    <row r="28">
      <c r="A28" s="7">
        <f>IF(A27&gt;=$D$4,0,IF(A27=0,0,1+A27))</f>
        <v/>
      </c>
      <c r="B28" s="62">
        <f>IF(A28=0,0,MID("DOMSegTerQuaQuiSexSAB",3*WEEKDAY(A28)-2,3))</f>
        <v/>
      </c>
      <c r="C28" s="8" t="n"/>
      <c r="D28" s="8" t="n"/>
      <c r="E28" s="9" t="n"/>
      <c r="F28" s="9" t="n"/>
      <c r="G28" s="9" t="n"/>
      <c r="H28" s="9" t="n"/>
      <c r="I28" s="8" t="n"/>
      <c r="J28" s="5">
        <f>(D28-C28+F28-E28+H28-G28)*24</f>
        <v/>
      </c>
      <c r="K28" s="35" t="n"/>
    </row>
    <row r="29">
      <c r="A29" s="7">
        <f>IF(A28&gt;=$D$4,0,IF(A28=0,0,1+A28))</f>
        <v/>
      </c>
      <c r="B29" s="62">
        <f>IF(A29=0,0,MID("DOMSegTerQuaQuiSexSAB",3*WEEKDAY(A29)-2,3))</f>
        <v/>
      </c>
      <c r="C29" s="8" t="n"/>
      <c r="D29" s="8" t="n"/>
      <c r="E29" s="9" t="n"/>
      <c r="F29" s="9" t="n"/>
      <c r="G29" s="9" t="n"/>
      <c r="H29" s="9" t="n"/>
      <c r="I29" s="8" t="n"/>
      <c r="J29" s="5">
        <f>(D29-C29+F29-E29+H29-G29)*24</f>
        <v/>
      </c>
      <c r="K29" s="35" t="n"/>
    </row>
    <row r="30">
      <c r="A30" s="7">
        <f>IF(A29&gt;=$D$4,0,IF(A29=0,0,1+A29))</f>
        <v/>
      </c>
      <c r="B30" s="33">
        <f>IF(A30=0,0,MID("DOMSegTerQuaQuiSexSAB",3*WEEKDAY(A30)-2,3))</f>
        <v/>
      </c>
      <c r="C30" s="8" t="n"/>
      <c r="D30" s="8" t="n"/>
      <c r="E30" s="9" t="n"/>
      <c r="F30" s="9" t="n"/>
      <c r="G30" s="9" t="n"/>
      <c r="H30" s="9" t="n"/>
      <c r="I30" s="8" t="n"/>
      <c r="J30" s="5">
        <f>(D30-C30+F30-E30+H30-G30)*24</f>
        <v/>
      </c>
      <c r="K30" s="35" t="n"/>
    </row>
    <row r="31">
      <c r="A31" s="7">
        <f>IF(A30&gt;=$D$4,0,IF(A30=0,0,1+A30))</f>
        <v/>
      </c>
      <c r="B31" s="62">
        <f>IF(A31=0,0,MID("DOMSegTerQuaQuiSexSAB",3*WEEKDAY(A31)-2,3))</f>
        <v/>
      </c>
      <c r="C31" s="8" t="n"/>
      <c r="D31" s="8" t="n"/>
      <c r="E31" s="9" t="n"/>
      <c r="F31" s="9" t="n"/>
      <c r="G31" s="9" t="n"/>
      <c r="H31" s="9" t="n"/>
      <c r="I31" s="8" t="n"/>
      <c r="J31" s="5">
        <f>(D31-C31+F31-E31+H31-G31)*24</f>
        <v/>
      </c>
      <c r="K31" s="35" t="n"/>
    </row>
    <row r="32">
      <c r="A32" s="7">
        <f>IF(A31&gt;=$D$4,0,IF(A31=0,0,1+A31))</f>
        <v/>
      </c>
      <c r="B32" s="62">
        <f>IF(A32=0,0,MID("DOMSegTerQuaQuiSexSAB",3*WEEKDAY(A32)-2,3))</f>
        <v/>
      </c>
      <c r="C32" s="8" t="n"/>
      <c r="D32" s="8" t="n"/>
      <c r="E32" s="9" t="n"/>
      <c r="F32" s="9" t="n"/>
      <c r="G32" s="9" t="n"/>
      <c r="H32" s="9" t="n"/>
      <c r="I32" s="8" t="n"/>
      <c r="J32" s="5">
        <f>(D32-C32+F32-E32+H32-G32)*24</f>
        <v/>
      </c>
      <c r="K32" s="35" t="n"/>
    </row>
    <row r="33">
      <c r="A33" s="7">
        <f>IF(A32&gt;=$D$4,0,IF(A32=0,0,1+A32))</f>
        <v/>
      </c>
      <c r="B33" s="33">
        <f>IF(A33=0,0,MID("DOMSegTerQuaQuiSexSAB",3*WEEKDAY(A33)-2,3))</f>
        <v/>
      </c>
      <c r="C33" s="8" t="n"/>
      <c r="D33" s="8" t="n"/>
      <c r="E33" s="9" t="n"/>
      <c r="F33" s="9" t="n"/>
      <c r="G33" s="9" t="n"/>
      <c r="H33" s="9" t="n"/>
      <c r="I33" s="8" t="n"/>
      <c r="J33" s="5">
        <f>(D33-C33+F33-E33+H33-G33)*24</f>
        <v/>
      </c>
      <c r="K33" s="35" t="n"/>
    </row>
    <row r="34">
      <c r="A34" s="7">
        <f>IF(A33&gt;=$D$4,0,IF(A33=0,0,1+A33))</f>
        <v/>
      </c>
      <c r="B34" s="62">
        <f>IF(A34=0,0,MID("DOMSegTerQuaQuiSexSAB",3*WEEKDAY(A34)-2,3))</f>
        <v/>
      </c>
      <c r="C34" s="8" t="n"/>
      <c r="D34" s="8" t="n"/>
      <c r="E34" s="9" t="n"/>
      <c r="F34" s="9" t="n"/>
      <c r="G34" s="9" t="n"/>
      <c r="H34" s="9" t="n"/>
      <c r="I34" s="8" t="n"/>
      <c r="J34" s="5">
        <f>(D34-C34+F34-E34+H34-G34)*24</f>
        <v/>
      </c>
      <c r="K34" s="35" t="n"/>
    </row>
    <row r="35">
      <c r="A35" s="7">
        <f>IF(A34&gt;=$D$4,0,IF(A34=0,0,1+A34))</f>
        <v/>
      </c>
      <c r="B35" s="62">
        <f>IF(A35=0,0,MID("DOMSegTerQuaQuiSexSAB",3*WEEKDAY(A35)-2,3))</f>
        <v/>
      </c>
      <c r="C35" s="8" t="n"/>
      <c r="D35" s="8" t="n"/>
      <c r="E35" s="9" t="n"/>
      <c r="F35" s="9" t="n"/>
      <c r="G35" s="9" t="n"/>
      <c r="H35" s="9" t="n"/>
      <c r="I35" s="8" t="n"/>
      <c r="J35" s="5">
        <f>(D35-C35+F35-E35+H35-G35)*24</f>
        <v/>
      </c>
      <c r="K35" s="35" t="n"/>
    </row>
    <row r="36">
      <c r="A36" s="7">
        <f>IF(A35&gt;=$D$4,0,IF(A35=0,0,1+A35))</f>
        <v/>
      </c>
      <c r="B36" s="62">
        <f>IF(A36=0,0,MID("DOMSegTerQuaQuiSexSAB",3*WEEKDAY(A36)-2,3))</f>
        <v/>
      </c>
      <c r="C36" s="8" t="n"/>
      <c r="D36" s="8" t="n"/>
      <c r="E36" s="9" t="n"/>
      <c r="F36" s="9" t="n"/>
      <c r="G36" s="9" t="n"/>
      <c r="H36" s="9" t="n"/>
      <c r="I36" s="8" t="n"/>
      <c r="J36" s="5">
        <f>(D36-C36+F36-E36+H36-G36)*24</f>
        <v/>
      </c>
      <c r="K36" s="35" t="n"/>
    </row>
    <row r="37">
      <c r="A37" s="7">
        <f>IF(A36&gt;=$D$4,0,IF(A36=0,0,1+A36))</f>
        <v/>
      </c>
      <c r="B37" s="62">
        <f>IF(A37=0,0,MID("DOMSegTerQuaQuiSexSAB",3*WEEKDAY(A37)-2,3))</f>
        <v/>
      </c>
      <c r="C37" s="8" t="n"/>
      <c r="D37" s="8" t="n"/>
      <c r="E37" s="9" t="n"/>
      <c r="F37" s="9" t="n"/>
      <c r="G37" s="9" t="n"/>
      <c r="H37" s="9" t="n"/>
      <c r="I37" s="8" t="n"/>
      <c r="J37" s="5">
        <f>(D37-C37+F37-E37+H37-G37)*24</f>
        <v/>
      </c>
      <c r="K37" s="35" t="n"/>
    </row>
    <row r="38">
      <c r="A38" s="7">
        <f>IF(A37&gt;=$D$4,0,IF(A37=0,0,1+A37))</f>
        <v/>
      </c>
      <c r="B38" s="62">
        <f>IF(A38=0,0,MID("DOMSegTerQuaQuiSexSAB",3*WEEKDAY(A38)-2,3))</f>
        <v/>
      </c>
      <c r="C38" s="8" t="n"/>
      <c r="D38" s="8" t="n"/>
      <c r="E38" s="9" t="n"/>
      <c r="F38" s="9" t="n"/>
      <c r="G38" s="9" t="n"/>
      <c r="H38" s="9" t="n"/>
      <c r="I38" s="8" t="n"/>
      <c r="J38" s="5">
        <f>(D38-C38+F38-E38+H38-G38)*24</f>
        <v/>
      </c>
      <c r="K38" s="35" t="n"/>
    </row>
    <row r="39">
      <c r="A39" s="7">
        <f>IF(A38&gt;=$D$4,0,IF(A38=0,0,1+A38))</f>
        <v/>
      </c>
      <c r="B39" s="62">
        <f>IF(A39=0,0,MID("DOMSegTerQuaQuiSexSAB",3*WEEKDAY(A39)-2,3))</f>
        <v/>
      </c>
      <c r="C39" s="8" t="n"/>
      <c r="D39" s="8" t="n"/>
      <c r="E39" s="9" t="n"/>
      <c r="F39" s="9" t="n"/>
      <c r="G39" s="9" t="n"/>
      <c r="H39" s="9" t="n"/>
      <c r="I39" s="8" t="n"/>
      <c r="J39" s="5">
        <f>(D39-C39+F39-E39+H39-G39)*24</f>
        <v/>
      </c>
      <c r="K39" s="35" t="n"/>
    </row>
    <row r="40">
      <c r="A40" s="7">
        <f>IF(A39&gt;=$D$4,0,IF(A39=0,0,1+A39))</f>
        <v/>
      </c>
      <c r="B40" s="62">
        <f>IF(A40=0,0,MID("DOMSegTerQuaQuiSexSAB",3*WEEKDAY(A40)-2,3))</f>
        <v/>
      </c>
      <c r="C40" s="8" t="n"/>
      <c r="D40" s="8" t="n"/>
      <c r="E40" s="9" t="n"/>
      <c r="F40" s="9" t="n"/>
      <c r="G40" s="9" t="n"/>
      <c r="H40" s="9" t="n"/>
      <c r="I40" s="8" t="n"/>
      <c r="J40" s="5">
        <f>(D40-C40+F40-E40+H40-G40)*24</f>
        <v/>
      </c>
      <c r="K40" s="35" t="n"/>
    </row>
    <row r="41">
      <c r="A41" s="7">
        <f>IF(A40&gt;=$D$4,0,IF(A40=0,0,1+A40))</f>
        <v/>
      </c>
      <c r="B41" s="62">
        <f>IF(A41=0,0,MID("DOMSegTerQuaQuiSexSAB",3*WEEKDAY(A41)-2,3))</f>
        <v/>
      </c>
      <c r="C41" s="8" t="n"/>
      <c r="D41" s="8" t="n"/>
      <c r="E41" s="9" t="n"/>
      <c r="F41" s="9" t="n"/>
      <c r="G41" s="9" t="n"/>
      <c r="H41" s="9" t="n"/>
      <c r="I41" s="8" t="n"/>
      <c r="J41" s="5">
        <f>(D41-C41+F41-E41+H41-G41)*24</f>
        <v/>
      </c>
      <c r="K41" s="35" t="n"/>
    </row>
    <row r="42" ht="13" customHeight="1" thickBot="1">
      <c r="A42" s="7">
        <f>IF(A41&gt;=$D$4,0,IF(A41=0,0,1+A41))</f>
        <v/>
      </c>
      <c r="B42" s="62">
        <f>IF(A42=0,0,MID("DOMSegTerQuaQuiSexSAB",3*WEEKDAY(A42)-2,3))</f>
        <v/>
      </c>
      <c r="C42" s="8" t="n"/>
      <c r="D42" s="8" t="n"/>
      <c r="E42" s="9" t="n"/>
      <c r="F42" s="9" t="n"/>
      <c r="G42" s="9" t="n"/>
      <c r="H42" s="9" t="n"/>
      <c r="I42" s="8" t="n"/>
      <c r="J42" s="5">
        <f>(D42-C42+F42-E42+H42-G42)*24</f>
        <v/>
      </c>
      <c r="K42" s="35" t="n"/>
    </row>
    <row r="43" ht="15" customHeight="1" thickBot="1">
      <c r="C43" s="15" t="n"/>
      <c r="D43" s="15" t="n"/>
      <c r="E43" s="15" t="n"/>
      <c r="F43" s="15" t="n"/>
      <c r="G43" s="15" t="n"/>
      <c r="H43" s="15" t="n"/>
      <c r="I43" s="15" t="n"/>
      <c r="J43" s="18">
        <f>SUM(J$13:J$42)</f>
        <v/>
      </c>
    </row>
    <row r="44" ht="13.25" customHeight="1">
      <c r="C44" s="15" t="n"/>
      <c r="D44" s="15" t="n"/>
      <c r="E44" s="15" t="n"/>
      <c r="F44" s="15" t="n"/>
      <c r="G44" s="15" t="n"/>
      <c r="H44" s="15" t="n"/>
      <c r="I44" s="15" t="n"/>
    </row>
  </sheetData>
  <mergeCells count="7">
    <mergeCell ref="C4:C5"/>
    <mergeCell ref="D5:E5"/>
    <mergeCell ref="H5:I5"/>
    <mergeCell ref="D4:E4"/>
    <mergeCell ref="H4:I4"/>
    <mergeCell ref="A1:K2"/>
    <mergeCell ref="A12:B12"/>
  </mergeCells>
  <conditionalFormatting sqref="B13:B42">
    <cfRule type="containsText" priority="1" operator="containsText" dxfId="30" text="DOM">
      <formula>NOT(ISERROR(SEARCH("DOM",B13)))</formula>
    </cfRule>
    <cfRule type="containsText" priority="2" operator="containsText" dxfId="30" text="SAB">
      <formula>NOT(ISERROR(SEARCH("SAB",B13)))</formula>
    </cfRule>
  </conditionalFormatting>
  <conditionalFormatting sqref="G13:I42">
    <cfRule type="expression" priority="12" dxfId="0" stopIfTrue="1">
      <formula>AND(#REF!=0,0=#REF!)</formula>
    </cfRule>
  </conditionalFormatting>
  <conditionalFormatting sqref="K13:K42">
    <cfRule type="expression" priority="8" dxfId="0" stopIfTrue="1">
      <formula>AND(#REF!=0,0=#REF!)</formula>
    </cfRule>
  </conditionalFormatting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"/>
  <sheetViews>
    <sheetView zoomScale="90" zoomScaleNormal="90" workbookViewId="0">
      <selection activeCell="L34" sqref="L34"/>
    </sheetView>
  </sheetViews>
  <sheetFormatPr baseColWidth="10" defaultColWidth="9.796875" defaultRowHeight="12"/>
  <cols>
    <col width="9.796875" customWidth="1" style="4" min="1" max="9"/>
    <col width="12.19921875" customWidth="1" style="2" min="10" max="10"/>
    <col width="25.796875" customWidth="1" style="4" min="11" max="11"/>
    <col width="9.796875" customWidth="1" style="4" min="12" max="16384"/>
  </cols>
  <sheetData>
    <row r="1" ht="12.75" customHeight="1">
      <c r="A1" s="75" t="inlineStr">
        <is>
          <t>HORAS DE SERVIÇO</t>
        </is>
      </c>
    </row>
    <row r="2" ht="11.25" customHeight="1"/>
    <row r="3" ht="13" customHeight="1" thickBot="1"/>
    <row r="4" ht="22" customHeight="1" thickBot="1">
      <c r="A4" s="1" t="inlineStr">
        <is>
          <t>Período:</t>
        </is>
      </c>
      <c r="B4" s="89" t="n">
        <v>45778</v>
      </c>
      <c r="C4" s="72" t="inlineStr">
        <is>
          <t>a</t>
        </is>
      </c>
      <c r="D4" s="90" t="n">
        <v>45808</v>
      </c>
      <c r="E4" s="91" t="n"/>
      <c r="H4" s="32" t="inlineStr">
        <is>
          <t>Total de horas úteis</t>
        </is>
      </c>
      <c r="I4" s="92" t="n"/>
      <c r="J4" s="32" t="inlineStr">
        <is>
          <t>Saldo</t>
        </is>
      </c>
    </row>
    <row r="5" ht="13.5" customHeight="1" thickBot="1">
      <c r="B5" s="93">
        <f>B4</f>
        <v/>
      </c>
      <c r="C5" s="94" t="n"/>
      <c r="D5" s="95">
        <f>D4</f>
        <v/>
      </c>
      <c r="E5" s="96" t="n"/>
      <c r="H5" s="97">
        <f>20*8</f>
        <v/>
      </c>
      <c r="I5" s="92" t="n"/>
      <c r="J5" s="31">
        <f>J44-H5</f>
        <v/>
      </c>
    </row>
    <row r="6">
      <c r="C6" s="6" t="n"/>
      <c r="E6" s="6" t="n"/>
      <c r="H6" s="28" t="n"/>
      <c r="I6" s="29" t="n"/>
      <c r="J6" s="29" t="n"/>
      <c r="K6" s="30" t="n"/>
    </row>
    <row r="7">
      <c r="C7" s="6" t="n"/>
      <c r="E7" s="6" t="n"/>
      <c r="G7" s="25" t="n"/>
      <c r="H7" s="2" t="n"/>
      <c r="I7" s="2" t="n"/>
      <c r="J7" s="26" t="n"/>
    </row>
    <row r="8" ht="18.75" customHeight="1">
      <c r="A8" s="27" t="inlineStr">
        <is>
          <t xml:space="preserve">Nome:  </t>
        </is>
      </c>
      <c r="B8" s="38">
        <f>'Abril - 2025'!B8</f>
        <v/>
      </c>
      <c r="C8" s="39" t="n"/>
      <c r="D8" s="39" t="n"/>
      <c r="E8" s="39" t="n"/>
      <c r="F8" s="40" t="n"/>
      <c r="G8" s="3" t="n"/>
      <c r="H8" s="3" t="n"/>
      <c r="I8" s="3" t="n"/>
      <c r="J8" s="3" t="n"/>
    </row>
    <row r="9" ht="16.5" customHeight="1">
      <c r="A9" s="27" t="inlineStr">
        <is>
          <t xml:space="preserve">Projeto: </t>
        </is>
      </c>
      <c r="B9" s="57">
        <f>'Abril - 2025'!B9</f>
        <v/>
      </c>
      <c r="C9" s="58" t="n"/>
      <c r="D9" s="58" t="n"/>
      <c r="E9" s="58" t="n"/>
      <c r="F9" s="59" t="n"/>
      <c r="G9" s="3" t="n"/>
      <c r="H9" s="3" t="n"/>
      <c r="I9" s="3" t="n"/>
      <c r="J9" s="3" t="n"/>
    </row>
    <row r="10">
      <c r="A10" s="1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4" t="n"/>
    </row>
    <row r="11" ht="15" customHeight="1"/>
    <row r="12" ht="18.75" customHeight="1">
      <c r="A12" s="71" t="inlineStr">
        <is>
          <t>Dia</t>
        </is>
      </c>
      <c r="B12" s="98" t="n"/>
      <c r="C12" s="71" t="inlineStr">
        <is>
          <t>Entr.</t>
        </is>
      </c>
      <c r="D12" s="21" t="inlineStr">
        <is>
          <t>Saída</t>
        </is>
      </c>
      <c r="E12" s="22" t="inlineStr">
        <is>
          <t>Entr.</t>
        </is>
      </c>
      <c r="F12" s="23" t="inlineStr">
        <is>
          <t>Saída</t>
        </is>
      </c>
      <c r="G12" s="71" t="inlineStr">
        <is>
          <t>Entr.</t>
        </is>
      </c>
      <c r="H12" s="21" t="inlineStr">
        <is>
          <t>Saída</t>
        </is>
      </c>
      <c r="I12" s="70" t="n"/>
      <c r="J12" s="24" t="inlineStr">
        <is>
          <t>Geral</t>
        </is>
      </c>
      <c r="K12" s="24" t="inlineStr">
        <is>
          <t>Observações</t>
        </is>
      </c>
    </row>
    <row r="13">
      <c r="A13" s="20">
        <f>B4</f>
        <v/>
      </c>
      <c r="B13" s="34">
        <f>IF(A13=0,0,MID("DOMSegTerQuaQuiSexSAB",3*WEEKDAY(A13)-2,3))</f>
        <v/>
      </c>
      <c r="C13" s="8" t="n"/>
      <c r="D13" s="8" t="n"/>
      <c r="E13" s="9" t="n"/>
      <c r="F13" s="9" t="n"/>
      <c r="G13" s="9" t="n"/>
      <c r="H13" s="9" t="n"/>
      <c r="I13" s="8" t="n"/>
      <c r="J13" s="5">
        <f>(D13-C13+F13-E13+H13-G13)*24</f>
        <v/>
      </c>
      <c r="K13" s="35" t="n"/>
    </row>
    <row r="14">
      <c r="A14" s="7">
        <f>IF(A13&gt;=$D$4,0,IF(A13=0,0,1+A13))</f>
        <v/>
      </c>
      <c r="B14" s="62">
        <f>IF(A14=0,0,MID("DOMSegTerQuaQuiSexSAB",3*WEEKDAY(A14)-2,3))</f>
        <v/>
      </c>
      <c r="C14" s="8" t="n"/>
      <c r="D14" s="8" t="n"/>
      <c r="E14" s="9" t="n"/>
      <c r="F14" s="9" t="n"/>
      <c r="G14" s="9" t="n"/>
      <c r="H14" s="9" t="n"/>
      <c r="I14" s="8" t="n"/>
      <c r="J14" s="5">
        <f>(D14-C14+F14-E14+H14-G14)*24</f>
        <v/>
      </c>
      <c r="K14" s="35" t="n"/>
    </row>
    <row r="15">
      <c r="A15" s="7">
        <f>IF(A14&gt;=$D$4,0,IF(A14=0,0,1+A14))</f>
        <v/>
      </c>
      <c r="B15" s="62">
        <f>IF(A15=0,0,MID("DOMSegTerQuaQuiSexSAB",3*WEEKDAY(A15)-2,3))</f>
        <v/>
      </c>
      <c r="C15" s="8" t="n"/>
      <c r="D15" s="8" t="n"/>
      <c r="E15" s="9" t="n"/>
      <c r="F15" s="9" t="n"/>
      <c r="G15" s="9" t="n"/>
      <c r="H15" s="9" t="n"/>
      <c r="I15" s="8" t="n"/>
      <c r="J15" s="5">
        <f>(D15-C15+F15-E15+H15-G15)*24</f>
        <v/>
      </c>
      <c r="K15" s="35" t="n"/>
    </row>
    <row r="16">
      <c r="A16" s="7">
        <f>IF(A15&gt;=$D$4,0,IF(A15=0,0,1+A15))</f>
        <v/>
      </c>
      <c r="B16" s="62">
        <f>IF(A16=0,0,MID("DOMSegTerQuaQuiSexSAB",3*WEEKDAY(A16)-2,3))</f>
        <v/>
      </c>
      <c r="C16" s="8" t="n"/>
      <c r="D16" s="8" t="n"/>
      <c r="E16" s="9" t="n"/>
      <c r="F16" s="9" t="n"/>
      <c r="G16" s="9" t="n"/>
      <c r="H16" s="9" t="n"/>
      <c r="I16" s="8" t="n"/>
      <c r="J16" s="5">
        <f>(D16-C16+F16-E16+H16-G16)*24</f>
        <v/>
      </c>
      <c r="K16" s="35" t="n"/>
    </row>
    <row r="17">
      <c r="A17" s="7">
        <f>IF(A16&gt;=$D$4,0,IF(A16=0,0,1+A16))</f>
        <v/>
      </c>
      <c r="B17" s="62">
        <f>IF(A17=0,0,MID("DOMSegTerQuaQuiSexSAB",3*WEEKDAY(A17)-2,3))</f>
        <v/>
      </c>
      <c r="C17" s="8" t="n"/>
      <c r="D17" s="8" t="n"/>
      <c r="E17" s="9" t="n"/>
      <c r="F17" s="9" t="n"/>
      <c r="G17" s="9" t="n"/>
      <c r="H17" s="9" t="n"/>
      <c r="I17" s="8" t="n"/>
      <c r="J17" s="5">
        <f>(D17-C17+F17-E17+H17-G17)*24</f>
        <v/>
      </c>
      <c r="K17" s="35" t="n"/>
    </row>
    <row r="18">
      <c r="A18" s="7">
        <f>IF(A17&gt;=$D$4,0,IF(A17=0,0,1+A17))</f>
        <v/>
      </c>
      <c r="B18" s="62">
        <f>IF(A18=0,0,MID("DOMSegTerQuaQuiSexSAB",3*WEEKDAY(A18)-2,3))</f>
        <v/>
      </c>
      <c r="C18" s="8" t="n"/>
      <c r="D18" s="8" t="n"/>
      <c r="E18" s="9" t="n"/>
      <c r="F18" s="9" t="n"/>
      <c r="G18" s="9" t="n"/>
      <c r="H18" s="9" t="n"/>
      <c r="I18" s="8" t="n"/>
      <c r="J18" s="5">
        <f>(D18-C18+F18-E18+H18-G18)*24</f>
        <v/>
      </c>
      <c r="K18" s="35" t="n"/>
    </row>
    <row r="19">
      <c r="A19" s="7">
        <f>IF(A18&gt;=$D$4,0,IF(A18=0,0,1+A18))</f>
        <v/>
      </c>
      <c r="B19" s="61">
        <f>IF(A19=0,0,MID("DOMSegTerQuaQuiSexSAB",3*WEEKDAY(A19)-2,3))</f>
        <v/>
      </c>
      <c r="C19" s="8" t="n"/>
      <c r="D19" s="8" t="n"/>
      <c r="E19" s="9" t="n"/>
      <c r="F19" s="9" t="n"/>
      <c r="G19" s="12" t="n"/>
      <c r="H19" s="12" t="n"/>
      <c r="I19" s="11" t="n"/>
      <c r="J19" s="5">
        <f>(D19-C19+F19-E19+H19-G19)*24</f>
        <v/>
      </c>
      <c r="K19" s="36" t="n"/>
    </row>
    <row r="20">
      <c r="A20" s="7">
        <f>IF(A19&gt;=$D$4,0,IF(A19=0,0,1+A19))</f>
        <v/>
      </c>
      <c r="B20" s="62">
        <f>IF(A20=0,0,MID("DOMSegTerQuaQuiSexSAB",3*WEEKDAY(A20)-2,3))</f>
        <v/>
      </c>
      <c r="C20" s="8" t="n"/>
      <c r="D20" s="8" t="n"/>
      <c r="E20" s="9" t="n"/>
      <c r="F20" s="9" t="n"/>
      <c r="G20" s="9" t="n"/>
      <c r="H20" s="9" t="n"/>
      <c r="I20" s="8" t="n"/>
      <c r="J20" s="5">
        <f>(D20-C20+F20-E20+H20-G20)*24</f>
        <v/>
      </c>
      <c r="K20" s="35" t="n"/>
    </row>
    <row r="21">
      <c r="A21" s="7">
        <f>IF(A20&gt;=$D$4,0,IF(A20=0,0,1+A20))</f>
        <v/>
      </c>
      <c r="B21" s="62">
        <f>IF(A21=0,0,MID("DOMSegTerQuaQuiSexSAB",3*WEEKDAY(A21)-2,3))</f>
        <v/>
      </c>
      <c r="C21" s="8" t="n"/>
      <c r="D21" s="8" t="n"/>
      <c r="E21" s="9" t="n"/>
      <c r="F21" s="9" t="n"/>
      <c r="G21" s="9" t="n"/>
      <c r="H21" s="9" t="n"/>
      <c r="I21" s="8" t="n"/>
      <c r="J21" s="5">
        <f>(D21-C21+F21-E21+H21-G21)*24</f>
        <v/>
      </c>
      <c r="K21" s="35" t="n"/>
    </row>
    <row r="22">
      <c r="A22" s="7">
        <f>IF(A21&gt;=$D$4,0,IF(A21=0,0,1+A21))</f>
        <v/>
      </c>
      <c r="B22" s="62">
        <f>IF(A22=0,0,MID("DOMSegTerQuaQuiSexSAB",3*WEEKDAY(A22)-2,3))</f>
        <v/>
      </c>
      <c r="C22" s="8" t="n"/>
      <c r="D22" s="8" t="n"/>
      <c r="E22" s="9" t="n"/>
      <c r="F22" s="9" t="n"/>
      <c r="G22" s="9" t="n"/>
      <c r="H22" s="9" t="n"/>
      <c r="I22" s="8" t="n"/>
      <c r="J22" s="5">
        <f>(D22-C22+F22-E22+H22-G22)*24</f>
        <v/>
      </c>
      <c r="K22" s="35" t="n"/>
    </row>
    <row r="23">
      <c r="A23" s="7">
        <f>IF(A22&gt;=$D$4,0,IF(A22=0,0,1+A22))</f>
        <v/>
      </c>
      <c r="B23" s="62">
        <f>IF(A23=0,0,MID("DOMSegTerQuaQuiSexSAB",3*WEEKDAY(A23)-2,3))</f>
        <v/>
      </c>
      <c r="C23" s="8" t="n"/>
      <c r="D23" s="8" t="n"/>
      <c r="E23" s="9" t="n"/>
      <c r="F23" s="9" t="n"/>
      <c r="G23" s="9" t="n"/>
      <c r="H23" s="9" t="n"/>
      <c r="I23" s="8" t="n"/>
      <c r="J23" s="5">
        <f>(D23-C23+F23-E23+H23-G23)*24</f>
        <v/>
      </c>
      <c r="K23" s="35" t="n"/>
    </row>
    <row r="24">
      <c r="A24" s="13">
        <f>IF(A23&gt;=$D$4,0,IF(A23=0,0,1+A23))</f>
        <v/>
      </c>
      <c r="B24" s="63">
        <f>IF(A24=0,0,MID("DOMSegTerQuaQuiSexSAB",3*WEEKDAY(A24)-2,3))</f>
        <v/>
      </c>
      <c r="C24" s="8" t="n"/>
      <c r="D24" s="8" t="n"/>
      <c r="E24" s="9" t="n"/>
      <c r="F24" s="9" t="n"/>
      <c r="G24" s="9" t="n"/>
      <c r="H24" s="9" t="n"/>
      <c r="I24" s="8" t="n"/>
      <c r="J24" s="5">
        <f>(D24-C24+F24-E24+H24-G24)*24</f>
        <v/>
      </c>
      <c r="K24" s="35" t="n"/>
    </row>
    <row r="25">
      <c r="A25" s="13">
        <f>IF(A24&gt;=$D$4,0,IF(A24=0,0,1+A24))</f>
        <v/>
      </c>
      <c r="B25" s="63">
        <f>IF(A25=0,0,MID("DOMSegTerQuaQuiSexSAB",3*WEEKDAY(A25)-2,3))</f>
        <v/>
      </c>
      <c r="C25" s="8" t="n"/>
      <c r="D25" s="8" t="n"/>
      <c r="E25" s="9" t="n"/>
      <c r="F25" s="9" t="n"/>
      <c r="G25" s="9" t="n"/>
      <c r="H25" s="9" t="n"/>
      <c r="I25" s="8" t="n"/>
      <c r="J25" s="5">
        <f>(D25-C25+F25-E25+H25-G25)*24</f>
        <v/>
      </c>
      <c r="K25" s="35" t="n"/>
    </row>
    <row r="26">
      <c r="A26" s="7">
        <f>IF(A25&gt;=$D$4,0,IF(A25=0,0,1+A25))</f>
        <v/>
      </c>
      <c r="B26" s="61">
        <f>IF(A26=0,0,MID("DOMSegTerQuaQuiSexSAB",3*WEEKDAY(A26)-2,3))</f>
        <v/>
      </c>
      <c r="C26" s="8" t="n"/>
      <c r="D26" s="8" t="n"/>
      <c r="E26" s="9" t="n"/>
      <c r="F26" s="9" t="n"/>
      <c r="G26" s="9" t="n"/>
      <c r="H26" s="9" t="n"/>
      <c r="I26" s="8" t="n"/>
      <c r="J26" s="5">
        <f>(D26-C26+F26-E26+H26-G26)*24</f>
        <v/>
      </c>
      <c r="K26" s="35" t="n"/>
    </row>
    <row r="27">
      <c r="A27" s="7">
        <f>IF(A26&gt;=$D$4,0,IF(A26=0,0,1+A26))</f>
        <v/>
      </c>
      <c r="B27" s="62">
        <f>IF(A27=0,0,MID("DOMSegTerQuaQuiSexSAB",3*WEEKDAY(A27)-2,3))</f>
        <v/>
      </c>
      <c r="C27" s="8" t="n"/>
      <c r="D27" s="8" t="n"/>
      <c r="E27" s="9" t="n"/>
      <c r="F27" s="9" t="n"/>
      <c r="G27" s="9" t="n"/>
      <c r="H27" s="9" t="n"/>
      <c r="I27" s="8" t="n"/>
      <c r="J27" s="5">
        <f>(D27-C27+F27-E27+H27-G27)*24</f>
        <v/>
      </c>
      <c r="K27" s="35" t="n"/>
    </row>
    <row r="28">
      <c r="A28" s="7">
        <f>IF(A27&gt;=$D$4,0,IF(A27=0,0,1+A27))</f>
        <v/>
      </c>
      <c r="B28" s="62">
        <f>IF(A28=0,0,MID("DOMSegTerQuaQuiSexSAB",3*WEEKDAY(A28)-2,3))</f>
        <v/>
      </c>
      <c r="C28" s="8" t="n"/>
      <c r="D28" s="8" t="n"/>
      <c r="E28" s="9" t="n"/>
      <c r="F28" s="9" t="n"/>
      <c r="G28" s="9" t="n"/>
      <c r="H28" s="9" t="n"/>
      <c r="I28" s="8" t="n"/>
      <c r="J28" s="5">
        <f>(D28-C28+F28-E28+H28-G28)*24</f>
        <v/>
      </c>
      <c r="K28" s="35" t="n"/>
    </row>
    <row r="29">
      <c r="A29" s="7">
        <f>IF(A28&gt;=$D$4,0,IF(A28=0,0,1+A28))</f>
        <v/>
      </c>
      <c r="B29" s="62">
        <f>IF(A29=0,0,MID("DOMSegTerQuaQuiSexSAB",3*WEEKDAY(A29)-2,3))</f>
        <v/>
      </c>
      <c r="C29" s="8" t="n"/>
      <c r="D29" s="8" t="n"/>
      <c r="E29" s="9" t="n"/>
      <c r="F29" s="9" t="n"/>
      <c r="G29" s="9" t="n"/>
      <c r="H29" s="9" t="n"/>
      <c r="I29" s="8" t="n"/>
      <c r="J29" s="5">
        <f>(D29-C29+F29-E29+H29-G29)*24</f>
        <v/>
      </c>
      <c r="K29" s="35" t="n"/>
    </row>
    <row r="30">
      <c r="A30" s="7">
        <f>IF(A29&gt;=$D$4,0,IF(A29=0,0,1+A29))</f>
        <v/>
      </c>
      <c r="B30" s="62">
        <f>IF(A30=0,0,MID("DOMSegTerQuaQuiSexSAB",3*WEEKDAY(A30)-2,3))</f>
        <v/>
      </c>
      <c r="C30" s="8" t="n"/>
      <c r="D30" s="8" t="n"/>
      <c r="E30" s="9" t="n"/>
      <c r="F30" s="9" t="n"/>
      <c r="G30" s="9" t="n"/>
      <c r="H30" s="9" t="n"/>
      <c r="I30" s="8" t="n"/>
      <c r="J30" s="5">
        <f>(D30-C30+F30-E30+H30-G30)*24</f>
        <v/>
      </c>
      <c r="K30" s="35" t="n"/>
    </row>
    <row r="31">
      <c r="A31" s="7">
        <f>IF(A30&gt;=$D$4,0,IF(A30=0,0,1+A30))</f>
        <v/>
      </c>
      <c r="B31" s="62">
        <f>IF(A31=0,0,MID("DOMSegTerQuaQuiSexSAB",3*WEEKDAY(A31)-2,3))</f>
        <v/>
      </c>
      <c r="C31" s="8" t="n"/>
      <c r="D31" s="8" t="n"/>
      <c r="E31" s="9" t="n"/>
      <c r="F31" s="9" t="n"/>
      <c r="G31" s="9" t="n"/>
      <c r="H31" s="9" t="n"/>
      <c r="I31" s="8" t="n"/>
      <c r="J31" s="5">
        <f>(D31-C31+F31-E31+H31-G31)*24</f>
        <v/>
      </c>
      <c r="K31" s="35" t="n"/>
    </row>
    <row r="32">
      <c r="A32" s="7">
        <f>IF(A31&gt;=$D$4,0,IF(A31=0,0,1+A31))</f>
        <v/>
      </c>
      <c r="B32" s="62">
        <f>IF(A32=0,0,MID("DOMSegTerQuaQuiSexSAB",3*WEEKDAY(A32)-2,3))</f>
        <v/>
      </c>
      <c r="C32" s="8" t="n"/>
      <c r="D32" s="8" t="n"/>
      <c r="E32" s="9" t="n"/>
      <c r="F32" s="9" t="n"/>
      <c r="G32" s="9" t="n"/>
      <c r="H32" s="9" t="n"/>
      <c r="I32" s="8" t="n"/>
      <c r="J32" s="5">
        <f>(D32-C32+F32-E32+H32-G32)*24</f>
        <v/>
      </c>
      <c r="K32" s="35" t="n"/>
    </row>
    <row r="33">
      <c r="A33" s="7">
        <f>IF(A32&gt;=$D$4,0,IF(A32=0,0,1+A32))</f>
        <v/>
      </c>
      <c r="B33" s="61">
        <f>IF(A33=0,0,MID("DOMSegTerQuaQuiSexSAB",3*WEEKDAY(A33)-2,3))</f>
        <v/>
      </c>
      <c r="C33" s="8" t="n"/>
      <c r="D33" s="8" t="n"/>
      <c r="E33" s="9" t="n"/>
      <c r="F33" s="9" t="n"/>
      <c r="G33" s="9" t="n"/>
      <c r="H33" s="9" t="n"/>
      <c r="I33" s="8" t="n"/>
      <c r="J33" s="5">
        <f>(D33-C33+F33-E33+H33-G33)*24</f>
        <v/>
      </c>
      <c r="K33" s="35" t="n"/>
    </row>
    <row r="34">
      <c r="A34" s="7">
        <f>IF(A33&gt;=$D$4,0,IF(A33=0,0,1+A33))</f>
        <v/>
      </c>
      <c r="B34" s="62">
        <f>IF(A34=0,0,MID("DOMSegTerQuaQuiSexSAB",3*WEEKDAY(A34)-2,3))</f>
        <v/>
      </c>
      <c r="C34" s="8" t="n"/>
      <c r="D34" s="8" t="n"/>
      <c r="E34" s="9" t="n"/>
      <c r="F34" s="9" t="n"/>
      <c r="G34" s="9" t="n"/>
      <c r="H34" s="9" t="n"/>
      <c r="I34" s="8" t="n"/>
      <c r="J34" s="5">
        <f>(D34-C34+F34-E34+H34-G34)*24</f>
        <v/>
      </c>
      <c r="K34" s="35" t="n"/>
    </row>
    <row r="35">
      <c r="A35" s="7">
        <f>IF(A34&gt;=$D$4,0,IF(A34=0,0,1+A34))</f>
        <v/>
      </c>
      <c r="B35" s="62">
        <f>IF(A35=0,0,MID("DOMSegTerQuaQuiSexSAB",3*WEEKDAY(A35)-2,3))</f>
        <v/>
      </c>
      <c r="C35" s="8" t="n"/>
      <c r="D35" s="8" t="n"/>
      <c r="E35" s="9" t="n"/>
      <c r="F35" s="9" t="n"/>
      <c r="G35" s="9" t="n"/>
      <c r="H35" s="9" t="n"/>
      <c r="I35" s="8" t="n"/>
      <c r="J35" s="5">
        <f>(D35-C35+F35-E35+H35-G35)*24</f>
        <v/>
      </c>
      <c r="K35" s="35" t="n"/>
    </row>
    <row r="36">
      <c r="A36" s="7">
        <f>IF(A35&gt;=$D$4,0,IF(A35=0,0,1+A35))</f>
        <v/>
      </c>
      <c r="B36" s="62">
        <f>IF(A36=0,0,MID("DOMSegTerQuaQuiSexSAB",3*WEEKDAY(A36)-2,3))</f>
        <v/>
      </c>
      <c r="C36" s="8" t="n"/>
      <c r="D36" s="8" t="n"/>
      <c r="E36" s="9" t="n"/>
      <c r="F36" s="9" t="n"/>
      <c r="G36" s="9" t="n"/>
      <c r="H36" s="9" t="n"/>
      <c r="I36" s="8" t="n"/>
      <c r="J36" s="5">
        <f>(D36-C36+F36-E36+H36-G36)*24</f>
        <v/>
      </c>
      <c r="K36" s="35" t="n"/>
    </row>
    <row r="37">
      <c r="A37" s="7">
        <f>IF(A36&gt;=$D$4,0,IF(A36=0,0,1+A36))</f>
        <v/>
      </c>
      <c r="B37" s="62">
        <f>IF(A37=0,0,MID("DOMSegTerQuaQuiSexSAB",3*WEEKDAY(A37)-2,3))</f>
        <v/>
      </c>
      <c r="C37" s="8" t="n"/>
      <c r="D37" s="8" t="n"/>
      <c r="E37" s="9" t="n"/>
      <c r="F37" s="9" t="n"/>
      <c r="G37" s="9" t="n"/>
      <c r="H37" s="9" t="n"/>
      <c r="I37" s="8" t="n"/>
      <c r="J37" s="5">
        <f>(D37-C37+F37-E37+H37-G37)*24</f>
        <v/>
      </c>
      <c r="K37" s="35" t="n"/>
    </row>
    <row r="38">
      <c r="A38" s="7">
        <f>IF(A37&gt;=$D$4,0,IF(A37=0,0,1+A37))</f>
        <v/>
      </c>
      <c r="B38" s="62">
        <f>IF(A38=0,0,MID("DOMSegTerQuaQuiSexSAB",3*WEEKDAY(A38)-2,3))</f>
        <v/>
      </c>
      <c r="C38" s="8" t="n"/>
      <c r="D38" s="8" t="n"/>
      <c r="E38" s="9" t="n"/>
      <c r="F38" s="9" t="n"/>
      <c r="G38" s="9" t="n"/>
      <c r="H38" s="9" t="n"/>
      <c r="I38" s="8" t="n"/>
      <c r="J38" s="5">
        <f>(D38-C38+F38-E38+H38-G38)*24</f>
        <v/>
      </c>
      <c r="K38" s="35" t="n"/>
    </row>
    <row r="39">
      <c r="A39" s="7">
        <f>IF(A38&gt;=$D$4,0,IF(A38=0,0,1+A38))</f>
        <v/>
      </c>
      <c r="B39" s="62">
        <f>IF(A39=0,0,MID("DOMSegTerQuaQuiSexSAB",3*WEEKDAY(A39)-2,3))</f>
        <v/>
      </c>
      <c r="C39" s="8" t="n"/>
      <c r="D39" s="8" t="n"/>
      <c r="E39" s="9" t="n"/>
      <c r="F39" s="9" t="n"/>
      <c r="G39" s="9" t="n"/>
      <c r="H39" s="9" t="n"/>
      <c r="I39" s="8" t="n"/>
      <c r="J39" s="5">
        <f>(D39-C39+F39-E39+H39-G39)*24</f>
        <v/>
      </c>
      <c r="K39" s="35" t="n"/>
    </row>
    <row r="40">
      <c r="A40" s="7">
        <f>IF(A39&gt;=$D$4,0,IF(A39=0,0,1+A39))</f>
        <v/>
      </c>
      <c r="B40" s="61">
        <f>IF(A40=0,0,MID("DOMSegTerQuaQuiSexSAB",3*WEEKDAY(A40)-2,3))</f>
        <v/>
      </c>
      <c r="C40" s="8" t="n"/>
      <c r="D40" s="8" t="n"/>
      <c r="E40" s="9" t="n"/>
      <c r="F40" s="9" t="n"/>
      <c r="G40" s="9" t="n"/>
      <c r="H40" s="9" t="n"/>
      <c r="I40" s="8" t="n"/>
      <c r="J40" s="5">
        <f>(D40-C40+F40-E40+H40-G40)*24</f>
        <v/>
      </c>
      <c r="K40" s="35" t="n"/>
    </row>
    <row r="41">
      <c r="A41" s="7">
        <f>IF(A40&gt;=$D$4,0,IF(A40=0,0,1+A40))</f>
        <v/>
      </c>
      <c r="B41" s="62">
        <f>IF(A41=0,0,MID("DOMSegTerQuaQuiSexSAB",3*WEEKDAY(A41)-2,3))</f>
        <v/>
      </c>
      <c r="C41" s="8" t="n"/>
      <c r="D41" s="8" t="n"/>
      <c r="E41" s="9" t="n"/>
      <c r="F41" s="9" t="n"/>
      <c r="G41" s="9" t="n"/>
      <c r="H41" s="9" t="n"/>
      <c r="I41" s="8" t="n"/>
      <c r="J41" s="5">
        <f>(D41-C41+F41-E41+H41-G41)*24</f>
        <v/>
      </c>
      <c r="K41" s="35" t="n"/>
    </row>
    <row r="42">
      <c r="A42" s="7">
        <f>IF(A41&gt;=$D$4,0,IF(A41=0,0,1+A41))</f>
        <v/>
      </c>
      <c r="B42" s="62">
        <f>IF(A42=0,0,MID("DOMSegTerQuaQuiSexSAB",3*WEEKDAY(A42)-2,3))</f>
        <v/>
      </c>
      <c r="C42" s="8" t="n"/>
      <c r="D42" s="8" t="n"/>
      <c r="E42" s="9" t="n"/>
      <c r="F42" s="9" t="n"/>
      <c r="G42" s="9" t="n"/>
      <c r="H42" s="9" t="n"/>
      <c r="I42" s="8" t="n"/>
      <c r="J42" s="5">
        <f>(D42-C42+F42-E42+H42-G42)*24</f>
        <v/>
      </c>
      <c r="K42" s="35" t="n"/>
    </row>
    <row r="43" ht="13" customHeight="1" thickBot="1">
      <c r="A43" s="7">
        <f>IF(A42&gt;=$D$4,0,IF(A42=0,0,1+A42))</f>
        <v/>
      </c>
      <c r="B43" s="62">
        <f>IF(A43=0,0,MID("DOMSegTerQuaQuiSexSAB",3*WEEKDAY(A43)-2,3))</f>
        <v/>
      </c>
      <c r="C43" s="8" t="n"/>
      <c r="D43" s="8" t="n"/>
      <c r="E43" s="8" t="n"/>
      <c r="F43" s="9" t="n"/>
      <c r="G43" s="9" t="n"/>
      <c r="H43" s="9" t="n"/>
      <c r="I43" s="8" t="n"/>
      <c r="J43" s="5">
        <f>(D43-C43+F43-E43+H43-G43)*24</f>
        <v/>
      </c>
      <c r="K43" s="35" t="n"/>
    </row>
    <row r="44" ht="15" customHeight="1" thickBot="1">
      <c r="C44" s="15" t="n"/>
      <c r="D44" s="15" t="n"/>
      <c r="E44" s="15" t="n"/>
      <c r="F44" s="15" t="n"/>
      <c r="G44" s="15" t="n"/>
      <c r="H44" s="15" t="n"/>
      <c r="I44" s="15" t="n"/>
      <c r="J44" s="18">
        <f>SUM(J$13:J$43)</f>
        <v/>
      </c>
    </row>
    <row r="45" ht="13.25" customHeight="1">
      <c r="C45" s="15" t="n"/>
      <c r="D45" s="15" t="n"/>
      <c r="E45" s="15" t="n"/>
      <c r="F45" s="15" t="n"/>
      <c r="G45" s="15" t="n"/>
      <c r="H45" s="15" t="n"/>
      <c r="I45" s="15" t="n"/>
    </row>
  </sheetData>
  <mergeCells count="7">
    <mergeCell ref="C4:C5"/>
    <mergeCell ref="D5:E5"/>
    <mergeCell ref="H5:I5"/>
    <mergeCell ref="D4:E4"/>
    <mergeCell ref="H4:I4"/>
    <mergeCell ref="A1:K2"/>
    <mergeCell ref="A12:B12"/>
  </mergeCells>
  <conditionalFormatting sqref="B13:B43">
    <cfRule type="containsText" priority="1" operator="containsText" dxfId="30" text="DOM">
      <formula>NOT(ISERROR(SEARCH("DOM",B13)))</formula>
    </cfRule>
    <cfRule type="containsText" priority="2" operator="containsText" dxfId="30" text="SAB">
      <formula>NOT(ISERROR(SEARCH("SAB",B13)))</formula>
    </cfRule>
  </conditionalFormatting>
  <conditionalFormatting sqref="G13:I43">
    <cfRule type="expression" priority="14" dxfId="0" stopIfTrue="1">
      <formula>AND(#REF!=0,0=#REF!)</formula>
    </cfRule>
  </conditionalFormatting>
  <conditionalFormatting sqref="K13:K43">
    <cfRule type="expression" priority="8" dxfId="0" stopIfTrue="1">
      <formula>AND(#REF!=0,0=#REF!)</formula>
    </cfRule>
  </conditionalFormatting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4"/>
  <sheetViews>
    <sheetView zoomScale="90" zoomScaleNormal="90" workbookViewId="0">
      <selection activeCell="H5" sqref="H5:I5"/>
    </sheetView>
  </sheetViews>
  <sheetFormatPr baseColWidth="10" defaultColWidth="9.796875" defaultRowHeight="12"/>
  <cols>
    <col width="9.796875" customWidth="1" style="4" min="1" max="5"/>
    <col width="10.19921875" bestFit="1" customWidth="1" style="4" min="6" max="6"/>
    <col width="9.796875" customWidth="1" style="4" min="7" max="9"/>
    <col width="12.796875" customWidth="1" style="2" min="10" max="10"/>
    <col width="21" customWidth="1" style="4" min="11" max="11"/>
    <col width="9.796875" customWidth="1" style="4" min="12" max="16384"/>
  </cols>
  <sheetData>
    <row r="1" ht="12.75" customHeight="1">
      <c r="A1" s="75" t="inlineStr">
        <is>
          <t>HORAS DE SERVIÇO</t>
        </is>
      </c>
    </row>
    <row r="2" ht="11.25" customHeight="1"/>
    <row r="3" ht="13" customHeight="1" thickBot="1"/>
    <row r="4" ht="27" customHeight="1" thickBot="1">
      <c r="A4" s="1" t="inlineStr">
        <is>
          <t>Período:</t>
        </is>
      </c>
      <c r="B4" s="89" t="n">
        <v>45809</v>
      </c>
      <c r="C4" s="72" t="inlineStr">
        <is>
          <t>a</t>
        </is>
      </c>
      <c r="D4" s="90" t="n">
        <v>45838</v>
      </c>
      <c r="E4" s="91" t="n"/>
      <c r="H4" s="32" t="inlineStr">
        <is>
          <t>Total de horas úteis</t>
        </is>
      </c>
      <c r="I4" s="92" t="n"/>
      <c r="J4" s="32" t="inlineStr">
        <is>
          <t>Saldo</t>
        </is>
      </c>
    </row>
    <row r="5" ht="13.5" customHeight="1" thickBot="1">
      <c r="B5" s="93">
        <f>B4</f>
        <v/>
      </c>
      <c r="C5" s="94" t="n"/>
      <c r="D5" s="95">
        <f>D4</f>
        <v/>
      </c>
      <c r="E5" s="96" t="n"/>
      <c r="H5" s="97">
        <f>20*8</f>
        <v/>
      </c>
      <c r="I5" s="92" t="n"/>
      <c r="J5" s="31">
        <f>J43-H5</f>
        <v/>
      </c>
    </row>
    <row r="6">
      <c r="C6" s="6" t="n"/>
      <c r="E6" s="6" t="n"/>
      <c r="H6" s="28" t="n"/>
      <c r="I6" s="29" t="n"/>
      <c r="J6" s="29" t="n"/>
      <c r="K6" s="30" t="n"/>
    </row>
    <row r="7">
      <c r="C7" s="6" t="n"/>
      <c r="E7" s="6" t="n"/>
      <c r="G7" s="25" t="n"/>
      <c r="H7" s="2" t="n"/>
      <c r="I7" s="2" t="n"/>
      <c r="J7" s="26" t="n"/>
    </row>
    <row r="8" ht="18.75" customHeight="1">
      <c r="A8" s="27" t="inlineStr">
        <is>
          <t xml:space="preserve">Nome:  </t>
        </is>
      </c>
      <c r="B8" s="38">
        <f>'Maio - 2025'!B8</f>
        <v/>
      </c>
      <c r="C8" s="39" t="n"/>
      <c r="D8" s="39" t="n"/>
      <c r="E8" s="39" t="n"/>
      <c r="F8" s="40" t="n"/>
      <c r="G8" s="3" t="n"/>
      <c r="H8" s="3" t="n"/>
      <c r="I8" s="3" t="n"/>
      <c r="J8" s="3" t="n"/>
    </row>
    <row r="9" ht="16.5" customHeight="1">
      <c r="A9" s="27" t="inlineStr">
        <is>
          <t xml:space="preserve">Projeto: </t>
        </is>
      </c>
      <c r="B9" s="57">
        <f>'Maio - 2025'!B9</f>
        <v/>
      </c>
      <c r="C9" s="58" t="n"/>
      <c r="D9" s="58" t="n"/>
      <c r="E9" s="58" t="n"/>
      <c r="F9" s="59" t="n"/>
      <c r="G9" s="3" t="n"/>
      <c r="H9" s="3" t="n"/>
      <c r="I9" s="3" t="n"/>
      <c r="J9" s="3" t="n"/>
    </row>
    <row r="10">
      <c r="A10" s="1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4" t="n"/>
    </row>
    <row r="11" ht="15" customHeight="1"/>
    <row r="12" ht="18.75" customHeight="1">
      <c r="A12" s="71" t="inlineStr">
        <is>
          <t>Dia</t>
        </is>
      </c>
      <c r="B12" s="98" t="n"/>
      <c r="C12" s="71" t="inlineStr">
        <is>
          <t>Entr.</t>
        </is>
      </c>
      <c r="D12" s="21" t="inlineStr">
        <is>
          <t>Saída</t>
        </is>
      </c>
      <c r="E12" s="22" t="inlineStr">
        <is>
          <t>Entr.</t>
        </is>
      </c>
      <c r="F12" s="23" t="inlineStr">
        <is>
          <t>Saída</t>
        </is>
      </c>
      <c r="G12" s="71" t="inlineStr">
        <is>
          <t>Entr.</t>
        </is>
      </c>
      <c r="H12" s="21" t="inlineStr">
        <is>
          <t>Saída</t>
        </is>
      </c>
      <c r="I12" s="70" t="n"/>
      <c r="J12" s="24" t="inlineStr">
        <is>
          <t>Geral</t>
        </is>
      </c>
      <c r="K12" s="24" t="inlineStr">
        <is>
          <t>Observações</t>
        </is>
      </c>
    </row>
    <row r="13">
      <c r="A13" s="20">
        <f>B4</f>
        <v/>
      </c>
      <c r="B13" s="61">
        <f>IF(A13=0,0,MID("DOMSegTerQuaQuiSexSAB",3*WEEKDAY(A13)-2,3))</f>
        <v/>
      </c>
      <c r="C13" s="8" t="n"/>
      <c r="D13" s="8" t="n"/>
      <c r="E13" s="9" t="n"/>
      <c r="F13" s="9" t="n"/>
      <c r="G13" s="9" t="n"/>
      <c r="H13" s="9" t="n"/>
      <c r="I13" s="8" t="n"/>
      <c r="J13" s="5">
        <f>(D13-C13+F13-E13+H13-G13)*24</f>
        <v/>
      </c>
      <c r="K13" s="35" t="n"/>
    </row>
    <row r="14">
      <c r="A14" s="7">
        <f>IF(A13&gt;=$D$4,0,IF(A13=0,0,1+A13))</f>
        <v/>
      </c>
      <c r="B14" s="62">
        <f>IF(A14=0,0,MID("DOMSegTerQuaQuiSexSAB",3*WEEKDAY(A14)-2,3))</f>
        <v/>
      </c>
      <c r="C14" s="8" t="n"/>
      <c r="D14" s="8" t="n"/>
      <c r="E14" s="9" t="n"/>
      <c r="F14" s="9" t="n"/>
      <c r="G14" s="9" t="n"/>
      <c r="H14" s="9" t="n"/>
      <c r="I14" s="8" t="n"/>
      <c r="J14" s="5">
        <f>(D14-C14+F14-E14+H14-G14)*24</f>
        <v/>
      </c>
      <c r="K14" s="35" t="n"/>
    </row>
    <row r="15">
      <c r="A15" s="7">
        <f>IF(A14&gt;=$D$4,0,IF(A14=0,0,1+A14))</f>
        <v/>
      </c>
      <c r="B15" s="62">
        <f>IF(A15=0,0,MID("DOMSegTerQuaQuiSexSAB",3*WEEKDAY(A15)-2,3))</f>
        <v/>
      </c>
      <c r="C15" s="8" t="n"/>
      <c r="D15" s="8" t="n"/>
      <c r="E15" s="9" t="n"/>
      <c r="F15" s="9" t="n"/>
      <c r="G15" s="9" t="n"/>
      <c r="H15" s="9" t="n"/>
      <c r="I15" s="8" t="n"/>
      <c r="J15" s="5">
        <f>(D15-C15+F15-E15+H15-G15)*24</f>
        <v/>
      </c>
      <c r="K15" s="35" t="n"/>
    </row>
    <row r="16">
      <c r="A16" s="7">
        <f>IF(A15&gt;=$D$4,0,IF(A15=0,0,1+A15))</f>
        <v/>
      </c>
      <c r="B16" s="62">
        <f>IF(A16=0,0,MID("DOMSegTerQuaQuiSexSAB",3*WEEKDAY(A16)-2,3))</f>
        <v/>
      </c>
      <c r="C16" s="8" t="n"/>
      <c r="D16" s="8" t="n"/>
      <c r="E16" s="9" t="n"/>
      <c r="F16" s="9" t="n"/>
      <c r="G16" s="9" t="n"/>
      <c r="H16" s="9" t="n"/>
      <c r="I16" s="8" t="n"/>
      <c r="J16" s="5">
        <f>(D16-C16+F16-E16+H16-G16)*24</f>
        <v/>
      </c>
      <c r="K16" s="35" t="n"/>
    </row>
    <row r="17">
      <c r="A17" s="7">
        <f>IF(A16&gt;=$D$4,0,IF(A16=0,0,1+A16))</f>
        <v/>
      </c>
      <c r="B17" s="62">
        <f>IF(A17=0,0,MID("DOMSegTerQuaQuiSexSAB",3*WEEKDAY(A17)-2,3))</f>
        <v/>
      </c>
      <c r="C17" s="8" t="n"/>
      <c r="D17" s="8" t="n"/>
      <c r="E17" s="9" t="n"/>
      <c r="F17" s="9" t="n"/>
      <c r="G17" s="9" t="n"/>
      <c r="H17" s="9" t="n"/>
      <c r="I17" s="8" t="n"/>
      <c r="J17" s="5">
        <f>(D17-C17+F17-E17+H17-G17)*24</f>
        <v/>
      </c>
      <c r="K17" s="35" t="n"/>
    </row>
    <row r="18">
      <c r="A18" s="7">
        <f>IF(A17&gt;=$D$4,0,IF(A17=0,0,1+A17))</f>
        <v/>
      </c>
      <c r="B18" s="62">
        <f>IF(A18=0,0,MID("DOMSegTerQuaQuiSexSAB",3*WEEKDAY(A18)-2,3))</f>
        <v/>
      </c>
      <c r="C18" s="8" t="n"/>
      <c r="D18" s="8" t="n"/>
      <c r="E18" s="9" t="n"/>
      <c r="F18" s="9" t="n"/>
      <c r="G18" s="9" t="n"/>
      <c r="H18" s="9" t="n"/>
      <c r="I18" s="8" t="n"/>
      <c r="J18" s="5">
        <f>(D18-C18+F18-E18+H18-G18)*24</f>
        <v/>
      </c>
      <c r="K18" s="35" t="n"/>
    </row>
    <row r="19">
      <c r="A19" s="7">
        <f>IF(A18&gt;=$D$4,0,IF(A18=0,0,1+A18))</f>
        <v/>
      </c>
      <c r="B19" s="62">
        <f>IF(A19=0,0,MID("DOMSegTerQuaQuiSexSAB",3*WEEKDAY(A19)-2,3))</f>
        <v/>
      </c>
      <c r="C19" s="11" t="n"/>
      <c r="D19" s="11" t="n"/>
      <c r="E19" s="12" t="n"/>
      <c r="F19" s="12" t="n"/>
      <c r="G19" s="12" t="n"/>
      <c r="H19" s="12" t="n"/>
      <c r="I19" s="11" t="n"/>
      <c r="J19" s="5">
        <f>(D19-C19+F19-E19+H19-G19)*24</f>
        <v/>
      </c>
      <c r="K19" s="35" t="n"/>
    </row>
    <row r="20">
      <c r="A20" s="7">
        <f>IF(A19&gt;=$D$4,0,IF(A19=0,0,1+A19))</f>
        <v/>
      </c>
      <c r="B20" s="62">
        <f>IF(A20=0,0,MID("DOMSegTerQuaQuiSexSAB",3*WEEKDAY(A20)-2,3))</f>
        <v/>
      </c>
      <c r="C20" s="8" t="n"/>
      <c r="D20" s="8" t="n"/>
      <c r="E20" s="9" t="n"/>
      <c r="F20" s="9" t="n"/>
      <c r="G20" s="9" t="n"/>
      <c r="H20" s="9" t="n"/>
      <c r="I20" s="8" t="n"/>
      <c r="J20" s="5">
        <f>(D20-C20+F20-E20+H20-G20)*24</f>
        <v/>
      </c>
      <c r="K20" s="35" t="n"/>
    </row>
    <row r="21">
      <c r="A21" s="7">
        <f>IF(A20&gt;=$D$4,0,IF(A20=0,0,1+A20))</f>
        <v/>
      </c>
      <c r="B21" s="62">
        <f>IF(A21=0,0,MID("DOMSegTerQuaQuiSexSAB",3*WEEKDAY(A21)-2,3))</f>
        <v/>
      </c>
      <c r="C21" s="8" t="n"/>
      <c r="D21" s="8" t="n"/>
      <c r="E21" s="9" t="n"/>
      <c r="F21" s="9" t="n"/>
      <c r="G21" s="9" t="n"/>
      <c r="H21" s="9" t="n"/>
      <c r="I21" s="8" t="n"/>
      <c r="J21" s="5">
        <f>(D21-C21+F21-E21+H21-G21)*24</f>
        <v/>
      </c>
      <c r="K21" s="35" t="n"/>
    </row>
    <row r="22">
      <c r="A22" s="7">
        <f>IF(A21&gt;=$D$4,0,IF(A21=0,0,1+A21))</f>
        <v/>
      </c>
      <c r="B22" s="62">
        <f>IF(A22=0,0,MID("DOMSegTerQuaQuiSexSAB",3*WEEKDAY(A22)-2,3))</f>
        <v/>
      </c>
      <c r="C22" s="8" t="n"/>
      <c r="D22" s="8" t="n"/>
      <c r="E22" s="9" t="n"/>
      <c r="F22" s="9" t="n"/>
      <c r="G22" s="9" t="n"/>
      <c r="H22" s="9" t="n"/>
      <c r="I22" s="8" t="n"/>
      <c r="J22" s="5">
        <f>(D22-C22+F22-E22+H22-G22)*24</f>
        <v/>
      </c>
      <c r="K22" s="35" t="n"/>
    </row>
    <row r="23">
      <c r="A23" s="7">
        <f>IF(A22&gt;=$D$4,0,IF(A22=0,0,1+A22))</f>
        <v/>
      </c>
      <c r="B23" s="62">
        <f>IF(A23=0,0,MID("DOMSegTerQuaQuiSexSAB",3*WEEKDAY(A23)-2,3))</f>
        <v/>
      </c>
      <c r="C23" s="8" t="n"/>
      <c r="D23" s="8" t="n"/>
      <c r="E23" s="9" t="n"/>
      <c r="F23" s="9" t="n"/>
      <c r="G23" s="9" t="n"/>
      <c r="H23" s="9" t="n"/>
      <c r="I23" s="8" t="n"/>
      <c r="J23" s="5">
        <f>(D23-C23+F23-E23+H23-G23)*24</f>
        <v/>
      </c>
      <c r="K23" s="35" t="n"/>
    </row>
    <row r="24">
      <c r="A24" s="13">
        <f>IF(A23&gt;=$D$4,0,IF(A23=0,0,1+A23))</f>
        <v/>
      </c>
      <c r="B24" s="62">
        <f>IF(A24=0,0,MID("DOMSegTerQuaQuiSexSAB",3*WEEKDAY(A24)-2,3))</f>
        <v/>
      </c>
      <c r="C24" s="8" t="n"/>
      <c r="D24" s="8" t="n"/>
      <c r="E24" s="9" t="n"/>
      <c r="F24" s="9" t="n"/>
      <c r="G24" s="9" t="n"/>
      <c r="H24" s="9" t="n"/>
      <c r="I24" s="8" t="n"/>
      <c r="J24" s="5">
        <f>(D24-C24+F24-E24+H24-G24)*24</f>
        <v/>
      </c>
      <c r="K24" s="35" t="n"/>
    </row>
    <row r="25">
      <c r="A25" s="13">
        <f>IF(A24&gt;=$D$4,0,IF(A24=0,0,1+A24))</f>
        <v/>
      </c>
      <c r="B25" s="63">
        <f>IF(A25=0,0,MID("DOMSegTerQuaQuiSexSAB",3*WEEKDAY(A25)-2,3))</f>
        <v/>
      </c>
      <c r="C25" s="8" t="n"/>
      <c r="D25" s="8" t="n"/>
      <c r="E25" s="9" t="n"/>
      <c r="F25" s="9" t="n"/>
      <c r="G25" s="9" t="n"/>
      <c r="H25" s="9" t="n"/>
      <c r="I25" s="8" t="n"/>
      <c r="J25" s="5">
        <f>(D25-C25+F25-E25+H25-G25)*24</f>
        <v/>
      </c>
      <c r="K25" s="35" t="n"/>
    </row>
    <row r="26">
      <c r="A26" s="7">
        <f>IF(A25&gt;=$D$4,0,IF(A25=0,0,1+A25))</f>
        <v/>
      </c>
      <c r="B26" s="62">
        <f>IF(A26=0,0,MID("DOMSegTerQuaQuiSexSAB",3*WEEKDAY(A26)-2,3))</f>
        <v/>
      </c>
      <c r="C26" s="8" t="n"/>
      <c r="D26" s="8" t="n"/>
      <c r="E26" s="9" t="n"/>
      <c r="F26" s="9" t="n"/>
      <c r="G26" s="9" t="n"/>
      <c r="H26" s="9" t="n"/>
      <c r="I26" s="8" t="n"/>
      <c r="J26" s="5">
        <f>(D26-C26+F26-E26+H26-G26)*24</f>
        <v/>
      </c>
      <c r="K26" s="35" t="n"/>
    </row>
    <row r="27">
      <c r="A27" s="7">
        <f>IF(A26&gt;=$D$4,0,IF(A26=0,0,1+A26))</f>
        <v/>
      </c>
      <c r="B27" s="62">
        <f>IF(A27=0,0,MID("DOMSegTerQuaQuiSexSAB",3*WEEKDAY(A27)-2,3))</f>
        <v/>
      </c>
      <c r="C27" s="8" t="n"/>
      <c r="D27" s="8" t="n"/>
      <c r="E27" s="9" t="n"/>
      <c r="F27" s="9" t="n"/>
      <c r="G27" s="9" t="n"/>
      <c r="H27" s="9" t="n"/>
      <c r="I27" s="8" t="n"/>
      <c r="J27" s="5">
        <f>(D27-C27+F27-E27+H27-G27)*24</f>
        <v/>
      </c>
      <c r="K27" s="35" t="n"/>
    </row>
    <row r="28">
      <c r="A28" s="7">
        <f>IF(A27&gt;=$D$4,0,IF(A27=0,0,1+A27))</f>
        <v/>
      </c>
      <c r="B28" s="62">
        <f>IF(A28=0,0,MID("DOMSegTerQuaQuiSexSAB",3*WEEKDAY(A28)-2,3))</f>
        <v/>
      </c>
      <c r="C28" s="8" t="n"/>
      <c r="D28" s="8" t="n"/>
      <c r="E28" s="9" t="n"/>
      <c r="F28" s="9" t="n"/>
      <c r="G28" s="9" t="n"/>
      <c r="H28" s="9" t="n"/>
      <c r="I28" s="8" t="n"/>
      <c r="J28" s="5">
        <f>(D28-C28+F28-E28+H28-G28)*24</f>
        <v/>
      </c>
      <c r="K28" s="35" t="n"/>
    </row>
    <row r="29">
      <c r="A29" s="7">
        <f>IF(A28&gt;=$D$4,0,IF(A28=0,0,1+A28))</f>
        <v/>
      </c>
      <c r="B29" s="62">
        <f>IF(A29=0,0,MID("DOMSegTerQuaQuiSexSAB",3*WEEKDAY(A29)-2,3))</f>
        <v/>
      </c>
      <c r="C29" s="8" t="n"/>
      <c r="D29" s="8" t="n"/>
      <c r="E29" s="9" t="n"/>
      <c r="F29" s="9" t="n"/>
      <c r="G29" s="9" t="n"/>
      <c r="H29" s="9" t="n"/>
      <c r="I29" s="8" t="n"/>
      <c r="J29" s="5">
        <f>(D29-C29+F29-E29+H29-G29)*24</f>
        <v/>
      </c>
      <c r="K29" s="35" t="n"/>
    </row>
    <row r="30">
      <c r="A30" s="7">
        <f>IF(A29&gt;=$D$4,0,IF(A29=0,0,1+A29))</f>
        <v/>
      </c>
      <c r="B30" s="62">
        <f>IF(A30=0,0,MID("DOMSegTerQuaQuiSexSAB",3*WEEKDAY(A30)-2,3))</f>
        <v/>
      </c>
      <c r="C30" s="8" t="n"/>
      <c r="D30" s="8" t="n"/>
      <c r="E30" s="9" t="n"/>
      <c r="F30" s="9" t="n"/>
      <c r="G30" s="9" t="n"/>
      <c r="H30" s="9" t="n"/>
      <c r="I30" s="8" t="n"/>
      <c r="J30" s="5">
        <f>(D30-C30+F30-E30+H30-G30)*24</f>
        <v/>
      </c>
      <c r="K30" s="35" t="n"/>
    </row>
    <row r="31">
      <c r="A31" s="7">
        <f>IF(A30&gt;=$D$4,0,IF(A30=0,0,1+A30))</f>
        <v/>
      </c>
      <c r="B31" s="62">
        <f>IF(A31=0,0,MID("DOMSegTerQuaQuiSexSAB",3*WEEKDAY(A31)-2,3))</f>
        <v/>
      </c>
      <c r="C31" s="8" t="n"/>
      <c r="D31" s="8" t="n"/>
      <c r="E31" s="9" t="n"/>
      <c r="F31" s="9" t="n"/>
      <c r="G31" s="9" t="n"/>
      <c r="H31" s="9" t="n"/>
      <c r="I31" s="8" t="n"/>
      <c r="J31" s="5">
        <f>(D31-C31+F31-E31+H31-G31)*24</f>
        <v/>
      </c>
      <c r="K31" s="35" t="n"/>
    </row>
    <row r="32">
      <c r="A32" s="7">
        <f>IF(A31&gt;=$D$4,0,IF(A31=0,0,1+A31))</f>
        <v/>
      </c>
      <c r="B32" s="62">
        <f>IF(A32=0,0,MID("DOMSegTerQuaQuiSexSAB",3*WEEKDAY(A32)-2,3))</f>
        <v/>
      </c>
      <c r="C32" s="8" t="n"/>
      <c r="D32" s="8" t="n"/>
      <c r="E32" s="9" t="n"/>
      <c r="F32" s="9" t="n"/>
      <c r="G32" s="9" t="n"/>
      <c r="H32" s="9" t="n"/>
      <c r="I32" s="8" t="n"/>
      <c r="J32" s="5">
        <f>(D32-C32+F32-E32+H32-G32)*24</f>
        <v/>
      </c>
      <c r="K32" s="35" t="n"/>
    </row>
    <row r="33">
      <c r="A33" s="7">
        <f>IF(A32&gt;=$D$4,0,IF(A32=0,0,1+A32))</f>
        <v/>
      </c>
      <c r="B33" s="62">
        <f>IF(A33=0,0,MID("DOMSegTerQuaQuiSexSAB",3*WEEKDAY(A33)-2,3))</f>
        <v/>
      </c>
      <c r="C33" s="8" t="n"/>
      <c r="D33" s="8" t="n"/>
      <c r="E33" s="9" t="n"/>
      <c r="F33" s="9" t="n"/>
      <c r="G33" s="9" t="n"/>
      <c r="H33" s="9" t="n"/>
      <c r="I33" s="8" t="n"/>
      <c r="J33" s="5">
        <f>(D33-C33+F33-E33+H33-G33)*24</f>
        <v/>
      </c>
      <c r="K33" s="35" t="n"/>
    </row>
    <row r="34">
      <c r="A34" s="7">
        <f>IF(A33&gt;=$D$4,0,IF(A33=0,0,1+A33))</f>
        <v/>
      </c>
      <c r="B34" s="62">
        <f>IF(A34=0,0,MID("DOMSegTerQuaQuiSexSAB",3*WEEKDAY(A34)-2,3))</f>
        <v/>
      </c>
      <c r="C34" s="8" t="n"/>
      <c r="D34" s="8" t="n"/>
      <c r="E34" s="9" t="n"/>
      <c r="F34" s="9" t="n"/>
      <c r="G34" s="9" t="n"/>
      <c r="H34" s="9" t="n"/>
      <c r="I34" s="8" t="n"/>
      <c r="J34" s="5">
        <f>(D34-C34+F34-E34+H34-G34)*24</f>
        <v/>
      </c>
      <c r="K34" s="35" t="n"/>
    </row>
    <row r="35">
      <c r="A35" s="7">
        <f>IF(A34&gt;=$D$4,0,IF(A34=0,0,1+A34))</f>
        <v/>
      </c>
      <c r="B35" s="62">
        <f>IF(A35=0,0,MID("DOMSegTerQuaQuiSexSAB",3*WEEKDAY(A35)-2,3))</f>
        <v/>
      </c>
      <c r="C35" s="8" t="n"/>
      <c r="D35" s="8" t="n"/>
      <c r="E35" s="9" t="n"/>
      <c r="F35" s="9" t="n"/>
      <c r="G35" s="9" t="n"/>
      <c r="H35" s="9" t="n"/>
      <c r="I35" s="8" t="n"/>
      <c r="J35" s="5">
        <f>(D35-C35+F35-E35+H35-G35)*24</f>
        <v/>
      </c>
      <c r="K35" s="35" t="n"/>
    </row>
    <row r="36">
      <c r="A36" s="7">
        <f>IF(A35&gt;=$D$4,0,IF(A35=0,0,1+A35))</f>
        <v/>
      </c>
      <c r="B36" s="62">
        <f>IF(A36=0,0,MID("DOMSegTerQuaQuiSexSAB",3*WEEKDAY(A36)-2,3))</f>
        <v/>
      </c>
      <c r="C36" s="8" t="n"/>
      <c r="D36" s="8" t="n"/>
      <c r="E36" s="9" t="n"/>
      <c r="F36" s="9" t="n"/>
      <c r="G36" s="9" t="n"/>
      <c r="H36" s="9" t="n"/>
      <c r="I36" s="8" t="n"/>
      <c r="J36" s="5">
        <f>(D36-C36+F36-E36+H36-G36)*24</f>
        <v/>
      </c>
      <c r="K36" s="35" t="n"/>
    </row>
    <row r="37">
      <c r="A37" s="7">
        <f>IF(A36&gt;=$D$4,0,IF(A36=0,0,1+A36))</f>
        <v/>
      </c>
      <c r="B37" s="62">
        <f>IF(A37=0,0,MID("DOMSegTerQuaQuiSexSAB",3*WEEKDAY(A37)-2,3))</f>
        <v/>
      </c>
      <c r="C37" s="8" t="n"/>
      <c r="D37" s="8" t="n"/>
      <c r="E37" s="9" t="n"/>
      <c r="F37" s="9" t="n"/>
      <c r="G37" s="9" t="n"/>
      <c r="H37" s="9" t="n"/>
      <c r="I37" s="8" t="n"/>
      <c r="J37" s="5">
        <f>(D37-C37+F37-E37+H37-G37)*24</f>
        <v/>
      </c>
      <c r="K37" s="35" t="n"/>
    </row>
    <row r="38">
      <c r="A38" s="7">
        <f>IF(A37&gt;=$D$4,0,IF(A37=0,0,1+A37))</f>
        <v/>
      </c>
      <c r="B38" s="62">
        <f>IF(A38=0,0,MID("DOMSegTerQuaQuiSexSAB",3*WEEKDAY(A38)-2,3))</f>
        <v/>
      </c>
      <c r="C38" s="8" t="n"/>
      <c r="D38" s="8" t="n"/>
      <c r="E38" s="9" t="n"/>
      <c r="F38" s="9" t="n"/>
      <c r="G38" s="9" t="n"/>
      <c r="H38" s="9" t="n"/>
      <c r="I38" s="8" t="n"/>
      <c r="J38" s="5">
        <f>(D38-C38+F38-E38+H38-G38)*24</f>
        <v/>
      </c>
      <c r="K38" s="35" t="n"/>
    </row>
    <row r="39">
      <c r="A39" s="7">
        <f>IF(A38&gt;=$D$4,0,IF(A38=0,0,1+A38))</f>
        <v/>
      </c>
      <c r="B39" s="62">
        <f>IF(A39=0,0,MID("DOMSegTerQuaQuiSexSAB",3*WEEKDAY(A39)-2,3))</f>
        <v/>
      </c>
      <c r="C39" s="8" t="n"/>
      <c r="D39" s="8" t="n"/>
      <c r="E39" s="9" t="n"/>
      <c r="F39" s="9" t="n"/>
      <c r="G39" s="9" t="n"/>
      <c r="H39" s="9" t="n"/>
      <c r="I39" s="8" t="n"/>
      <c r="J39" s="5">
        <f>(D39-C39+F39-E39+H39-G39)*24</f>
        <v/>
      </c>
      <c r="K39" s="35" t="n"/>
    </row>
    <row r="40">
      <c r="A40" s="7">
        <f>IF(A39&gt;=$D$4,0,IF(A39=0,0,1+A39))</f>
        <v/>
      </c>
      <c r="B40" s="62">
        <f>IF(A40=0,0,MID("DOMSegTerQuaQuiSexSAB",3*WEEKDAY(A40)-2,3))</f>
        <v/>
      </c>
      <c r="C40" s="8" t="n"/>
      <c r="D40" s="8" t="n"/>
      <c r="E40" s="9" t="n"/>
      <c r="F40" s="9" t="n"/>
      <c r="G40" s="9" t="n"/>
      <c r="H40" s="9" t="n"/>
      <c r="I40" s="8" t="n"/>
      <c r="J40" s="5">
        <f>(D40-C40+F40-E40+H40-G40)*24</f>
        <v/>
      </c>
      <c r="K40" s="35" t="n"/>
    </row>
    <row r="41">
      <c r="A41" s="7">
        <f>IF(A40&gt;=$D$4,0,IF(A40=0,0,1+A40))</f>
        <v/>
      </c>
      <c r="B41" s="62">
        <f>IF(A41=0,0,MID("DOMSegTerQuaQuiSexSAB",3*WEEKDAY(A41)-2,3))</f>
        <v/>
      </c>
      <c r="C41" s="8" t="n"/>
      <c r="D41" s="8" t="n"/>
      <c r="E41" s="9" t="n"/>
      <c r="F41" s="9" t="n"/>
      <c r="G41" s="9" t="n"/>
      <c r="H41" s="9" t="n"/>
      <c r="I41" s="8" t="n"/>
      <c r="J41" s="5">
        <f>(D41-C41+F41-E41+H41-G41)*24</f>
        <v/>
      </c>
      <c r="K41" s="35" t="n"/>
    </row>
    <row r="42" ht="13" customHeight="1" thickBot="1">
      <c r="A42" s="7">
        <f>IF(A41&gt;=$D$4,0,IF(A41=0,0,1+A41))</f>
        <v/>
      </c>
      <c r="B42" s="62">
        <f>IF(A42=0,0,MID("DOMSegTerQuaQuiSexSAB",3*WEEKDAY(A42)-2,3))</f>
        <v/>
      </c>
      <c r="C42" s="8" t="n"/>
      <c r="D42" s="8" t="n"/>
      <c r="E42" s="9" t="n"/>
      <c r="F42" s="9" t="n"/>
      <c r="G42" s="9" t="n"/>
      <c r="H42" s="9" t="n"/>
      <c r="I42" s="8" t="n"/>
      <c r="J42" s="5">
        <f>(D42-C42+F42-E42+H42-G42)*24</f>
        <v/>
      </c>
      <c r="K42" s="35" t="n"/>
    </row>
    <row r="43" ht="15" customHeight="1" thickBot="1">
      <c r="C43" s="15" t="n"/>
      <c r="D43" s="15" t="n"/>
      <c r="E43" s="15" t="n"/>
      <c r="F43" s="15" t="n"/>
      <c r="G43" s="15" t="n"/>
      <c r="H43" s="15" t="n"/>
      <c r="I43" s="15" t="n"/>
      <c r="J43" s="18">
        <f>SUM(J$13:J$42)</f>
        <v/>
      </c>
    </row>
    <row r="44" ht="13.25" customHeight="1">
      <c r="C44" s="15" t="n"/>
      <c r="D44" s="15" t="n"/>
      <c r="E44" s="15" t="n"/>
      <c r="F44" s="15" t="n"/>
      <c r="G44" s="15" t="n"/>
      <c r="H44" s="15" t="n"/>
      <c r="I44" s="15" t="n"/>
    </row>
  </sheetData>
  <mergeCells count="7">
    <mergeCell ref="C4:C5"/>
    <mergeCell ref="D5:E5"/>
    <mergeCell ref="H5:I5"/>
    <mergeCell ref="D4:E4"/>
    <mergeCell ref="H4:I4"/>
    <mergeCell ref="A1:K2"/>
    <mergeCell ref="A12:B12"/>
  </mergeCells>
  <conditionalFormatting sqref="B13:B42">
    <cfRule type="containsText" priority="1" operator="containsText" dxfId="2" text="DOM">
      <formula>NOT(ISERROR(SEARCH("DOM",B13)))</formula>
    </cfRule>
    <cfRule type="containsText" priority="2" operator="containsText" dxfId="2" text="SAB">
      <formula>NOT(ISERROR(SEARCH("SAB",B13)))</formula>
    </cfRule>
  </conditionalFormatting>
  <conditionalFormatting sqref="G13:I42">
    <cfRule type="expression" priority="7" dxfId="0" stopIfTrue="1">
      <formula>AND(#REF!=0,0=#REF!)</formula>
    </cfRule>
  </conditionalFormatting>
  <conditionalFormatting sqref="K13:K42">
    <cfRule type="expression" priority="3" dxfId="0" stopIfTrue="1">
      <formula>AND(#REF!=0,0=#REF!)</formula>
    </cfRule>
  </conditionalFormatting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"/>
  <sheetViews>
    <sheetView topLeftCell="A2" workbookViewId="0">
      <selection activeCell="H5" sqref="H5:I5"/>
    </sheetView>
  </sheetViews>
  <sheetFormatPr baseColWidth="10" defaultColWidth="9.796875" defaultRowHeight="12"/>
  <cols>
    <col width="9.796875" customWidth="1" style="4" min="1" max="9"/>
    <col width="12.796875" customWidth="1" style="2" min="10" max="10"/>
    <col width="21" customWidth="1" style="4" min="11" max="11"/>
    <col width="9.796875" customWidth="1" style="4" min="12" max="16384"/>
  </cols>
  <sheetData>
    <row r="1" ht="12.75" customHeight="1">
      <c r="A1" s="75" t="inlineStr">
        <is>
          <t>HORAS DE SERVIÇO</t>
        </is>
      </c>
    </row>
    <row r="2" ht="11.25" customHeight="1"/>
    <row r="3" ht="13" customHeight="1" thickBot="1"/>
    <row r="4" ht="13.5" customHeight="1" thickBot="1">
      <c r="A4" s="1" t="inlineStr">
        <is>
          <t>Período:</t>
        </is>
      </c>
      <c r="B4" s="89" t="n">
        <v>45839</v>
      </c>
      <c r="C4" s="72" t="inlineStr">
        <is>
          <t>a</t>
        </is>
      </c>
      <c r="D4" s="90" t="n">
        <v>45869</v>
      </c>
      <c r="E4" s="91" t="n"/>
      <c r="H4" s="32" t="inlineStr">
        <is>
          <t>Total de horas úteis</t>
        </is>
      </c>
      <c r="I4" s="92" t="n"/>
      <c r="J4" s="32" t="inlineStr">
        <is>
          <t>Saldo</t>
        </is>
      </c>
    </row>
    <row r="5" ht="13.5" customHeight="1" thickBot="1">
      <c r="B5" s="93">
        <f>B4</f>
        <v/>
      </c>
      <c r="C5" s="94" t="n"/>
      <c r="D5" s="95">
        <f>D4</f>
        <v/>
      </c>
      <c r="E5" s="96" t="n"/>
      <c r="H5" s="97">
        <f>23*8</f>
        <v/>
      </c>
      <c r="I5" s="92" t="n"/>
      <c r="J5" s="31">
        <f>J44-H5</f>
        <v/>
      </c>
    </row>
    <row r="6">
      <c r="C6" s="6" t="n"/>
      <c r="E6" s="6" t="n"/>
      <c r="H6" s="28" t="n"/>
      <c r="I6" s="29" t="n"/>
      <c r="J6" s="29" t="n"/>
      <c r="K6" s="30" t="n"/>
    </row>
    <row r="7">
      <c r="C7" s="6" t="n"/>
      <c r="E7" s="6" t="n"/>
      <c r="G7" s="25" t="n"/>
      <c r="H7" s="2" t="n"/>
      <c r="I7" s="2" t="n"/>
      <c r="J7" s="26" t="n"/>
    </row>
    <row r="8" ht="18.75" customHeight="1">
      <c r="A8" s="27" t="inlineStr">
        <is>
          <t xml:space="preserve">Nome:  </t>
        </is>
      </c>
      <c r="B8" s="38">
        <f>'Junho - 2025'!B8</f>
        <v/>
      </c>
      <c r="C8" s="39" t="n"/>
      <c r="D8" s="39" t="n"/>
      <c r="E8" s="39" t="n"/>
      <c r="F8" s="40" t="n"/>
      <c r="G8" s="3" t="n"/>
      <c r="H8" s="3" t="n"/>
      <c r="I8" s="3" t="n"/>
      <c r="J8" s="3" t="n"/>
    </row>
    <row r="9" ht="16.5" customHeight="1">
      <c r="A9" s="27" t="inlineStr">
        <is>
          <t xml:space="preserve">Projeto: </t>
        </is>
      </c>
      <c r="B9" s="57">
        <f>'Junho - 2025'!B9</f>
        <v/>
      </c>
      <c r="C9" s="58" t="n"/>
      <c r="D9" s="58" t="n"/>
      <c r="E9" s="58" t="n"/>
      <c r="F9" s="59" t="n"/>
      <c r="G9" s="3" t="n"/>
      <c r="H9" s="3" t="n"/>
      <c r="I9" s="3" t="n"/>
      <c r="J9" s="3" t="n"/>
    </row>
    <row r="10">
      <c r="A10" s="1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4" t="n"/>
    </row>
    <row r="11" ht="15" customHeight="1"/>
    <row r="12" ht="18.75" customHeight="1">
      <c r="A12" s="71" t="inlineStr">
        <is>
          <t>Dia</t>
        </is>
      </c>
      <c r="B12" s="98" t="n"/>
      <c r="C12" s="71" t="inlineStr">
        <is>
          <t>Entr.</t>
        </is>
      </c>
      <c r="D12" s="21" t="inlineStr">
        <is>
          <t>Saída</t>
        </is>
      </c>
      <c r="E12" s="22" t="inlineStr">
        <is>
          <t>Entr.</t>
        </is>
      </c>
      <c r="F12" s="23" t="inlineStr">
        <is>
          <t>Saída</t>
        </is>
      </c>
      <c r="G12" s="71" t="inlineStr">
        <is>
          <t>Entr.</t>
        </is>
      </c>
      <c r="H12" s="21" t="inlineStr">
        <is>
          <t>Saída</t>
        </is>
      </c>
      <c r="I12" s="70" t="n"/>
      <c r="J12" s="24" t="inlineStr">
        <is>
          <t>Geral</t>
        </is>
      </c>
      <c r="K12" s="24" t="inlineStr">
        <is>
          <t>Observações</t>
        </is>
      </c>
    </row>
    <row r="13">
      <c r="A13" s="20">
        <f>B4</f>
        <v/>
      </c>
      <c r="B13" s="61">
        <f>IF(A13=0,0,MID("DOMSegTerQuaQuiSexSAB",3*WEEKDAY(A13)-2,3))</f>
        <v/>
      </c>
      <c r="C13" s="8" t="n"/>
      <c r="D13" s="8" t="n"/>
      <c r="E13" s="9" t="n"/>
      <c r="F13" s="9" t="n"/>
      <c r="G13" s="9" t="n"/>
      <c r="H13" s="9" t="n"/>
      <c r="I13" s="8" t="n"/>
      <c r="J13" s="5">
        <f>(D13-C13+F13-E13+H13-G13)*24</f>
        <v/>
      </c>
      <c r="K13" s="35" t="n"/>
    </row>
    <row r="14">
      <c r="A14" s="7">
        <f>IF(A13&gt;=$D$4,0,IF(A13=0,0,1+A13))</f>
        <v/>
      </c>
      <c r="B14" s="62">
        <f>IF(A14=0,0,MID("DOMSegTerQuaQuiSexSAB",3*WEEKDAY(A14)-2,3))</f>
        <v/>
      </c>
      <c r="C14" s="8" t="n"/>
      <c r="D14" s="8" t="n"/>
      <c r="E14" s="9" t="n"/>
      <c r="F14" s="9" t="n"/>
      <c r="G14" s="9" t="n"/>
      <c r="H14" s="9" t="n"/>
      <c r="I14" s="8" t="n"/>
      <c r="J14" s="5">
        <f>(D14-C14+F14-E14+H14-G14)*24</f>
        <v/>
      </c>
      <c r="K14" s="35" t="n"/>
    </row>
    <row r="15">
      <c r="A15" s="7">
        <f>IF(A14&gt;=$D$4,0,IF(A14=0,0,1+A14))</f>
        <v/>
      </c>
      <c r="B15" s="62">
        <f>IF(A15=0,0,MID("DOMSegTerQuaQuiSexSAB",3*WEEKDAY(A15)-2,3))</f>
        <v/>
      </c>
      <c r="C15" s="8" t="n"/>
      <c r="D15" s="8" t="n"/>
      <c r="E15" s="9" t="n"/>
      <c r="F15" s="9" t="n"/>
      <c r="G15" s="9" t="n"/>
      <c r="H15" s="9" t="n"/>
      <c r="I15" s="8" t="n"/>
      <c r="J15" s="5">
        <f>(D15-C15+F15-E15+H15-G15)*24</f>
        <v/>
      </c>
      <c r="K15" s="35" t="n"/>
    </row>
    <row r="16">
      <c r="A16" s="7">
        <f>IF(A15&gt;=$D$4,0,IF(A15=0,0,1+A15))</f>
        <v/>
      </c>
      <c r="B16" s="62">
        <f>IF(A16=0,0,MID("DOMSegTerQuaQuiSexSAB",3*WEEKDAY(A16)-2,3))</f>
        <v/>
      </c>
      <c r="C16" s="8" t="n"/>
      <c r="D16" s="8" t="n"/>
      <c r="E16" s="9" t="n"/>
      <c r="F16" s="9" t="n"/>
      <c r="G16" s="9" t="n"/>
      <c r="H16" s="9" t="n"/>
      <c r="I16" s="8" t="n"/>
      <c r="J16" s="5">
        <f>(D16-C16+F16-E16+H16-G16)*24</f>
        <v/>
      </c>
      <c r="K16" s="35" t="n"/>
    </row>
    <row r="17">
      <c r="A17" s="7">
        <f>IF(A16&gt;=$D$4,0,IF(A16=0,0,1+A16))</f>
        <v/>
      </c>
      <c r="B17" s="62">
        <f>IF(A17=0,0,MID("DOMSegTerQuaQuiSexSAB",3*WEEKDAY(A17)-2,3))</f>
        <v/>
      </c>
      <c r="C17" s="8" t="n"/>
      <c r="D17" s="8" t="n"/>
      <c r="E17" s="9" t="n"/>
      <c r="F17" s="9" t="n"/>
      <c r="G17" s="9" t="n"/>
      <c r="H17" s="9" t="n"/>
      <c r="I17" s="8" t="n"/>
      <c r="J17" s="5">
        <f>(D17-C17+F17-E17+H17-G17)*24</f>
        <v/>
      </c>
      <c r="K17" s="35" t="n"/>
    </row>
    <row r="18">
      <c r="A18" s="7">
        <f>IF(A17&gt;=$D$4,0,IF(A17=0,0,1+A17))</f>
        <v/>
      </c>
      <c r="B18" s="62">
        <f>IF(A18=0,0,MID("DOMSegTerQuaQuiSexSAB",3*WEEKDAY(A18)-2,3))</f>
        <v/>
      </c>
      <c r="C18" s="8" t="n"/>
      <c r="D18" s="8" t="n"/>
      <c r="E18" s="9" t="n"/>
      <c r="F18" s="9" t="n"/>
      <c r="G18" s="9" t="n"/>
      <c r="H18" s="9" t="n"/>
      <c r="I18" s="8" t="n"/>
      <c r="J18" s="5">
        <f>(D18-C18+F18-E18+H18-G18)*24</f>
        <v/>
      </c>
      <c r="K18" s="35" t="n"/>
    </row>
    <row r="19">
      <c r="A19" s="7">
        <f>IF(A18&gt;=$D$4,0,IF(A18=0,0,1+A18))</f>
        <v/>
      </c>
      <c r="B19" s="62">
        <f>IF(A19=0,0,MID("DOMSegTerQuaQuiSexSAB",3*WEEKDAY(A19)-2,3))</f>
        <v/>
      </c>
      <c r="C19" s="11" t="n"/>
      <c r="D19" s="11" t="n"/>
      <c r="E19" s="12" t="n"/>
      <c r="F19" s="12" t="n"/>
      <c r="G19" s="12" t="n"/>
      <c r="H19" s="12" t="n"/>
      <c r="I19" s="11" t="n"/>
      <c r="J19" s="5">
        <f>(D19-C19+F19-E19+H19-G19)*24</f>
        <v/>
      </c>
      <c r="K19" s="36" t="n"/>
    </row>
    <row r="20">
      <c r="A20" s="7">
        <f>IF(A19&gt;=$D$4,0,IF(A19=0,0,1+A19))</f>
        <v/>
      </c>
      <c r="B20" s="62">
        <f>IF(A20=0,0,MID("DOMSegTerQuaQuiSexSAB",3*WEEKDAY(A20)-2,3))</f>
        <v/>
      </c>
      <c r="C20" s="8" t="n"/>
      <c r="D20" s="8" t="n"/>
      <c r="E20" s="9" t="n"/>
      <c r="F20" s="9" t="n"/>
      <c r="G20" s="9" t="n"/>
      <c r="H20" s="9" t="n"/>
      <c r="I20" s="8" t="n"/>
      <c r="J20" s="5">
        <f>(D20-C20+F20-E20+H20-G20)*24</f>
        <v/>
      </c>
      <c r="K20" s="35" t="n"/>
    </row>
    <row r="21">
      <c r="A21" s="7">
        <f>IF(A20&gt;=$D$4,0,IF(A20=0,0,1+A20))</f>
        <v/>
      </c>
      <c r="B21" s="62">
        <f>IF(A21=0,0,MID("DOMSegTerQuaQuiSexSAB",3*WEEKDAY(A21)-2,3))</f>
        <v/>
      </c>
      <c r="C21" s="8" t="n"/>
      <c r="D21" s="8" t="n"/>
      <c r="E21" s="9" t="n"/>
      <c r="F21" s="9" t="n"/>
      <c r="G21" s="9" t="n"/>
      <c r="H21" s="9" t="n"/>
      <c r="I21" s="8" t="n"/>
      <c r="J21" s="5">
        <f>(D21-C21+F21-E21+H21-G21)*24</f>
        <v/>
      </c>
      <c r="K21" s="35" t="n"/>
    </row>
    <row r="22">
      <c r="A22" s="7">
        <f>IF(A21&gt;=$D$4,0,IF(A21=0,0,1+A21))</f>
        <v/>
      </c>
      <c r="B22" s="62">
        <f>IF(A22=0,0,MID("DOMSegTerQuaQuiSexSAB",3*WEEKDAY(A22)-2,3))</f>
        <v/>
      </c>
      <c r="C22" s="8" t="n"/>
      <c r="D22" s="8" t="n"/>
      <c r="E22" s="9" t="n"/>
      <c r="F22" s="9" t="n"/>
      <c r="G22" s="9" t="n"/>
      <c r="H22" s="9" t="n"/>
      <c r="I22" s="8" t="n"/>
      <c r="J22" s="5">
        <f>(D22-C22+F22-E22+H22-G22)*24</f>
        <v/>
      </c>
      <c r="K22" s="35" t="n"/>
    </row>
    <row r="23">
      <c r="A23" s="7">
        <f>IF(A22&gt;=$D$4,0,IF(A22=0,0,1+A22))</f>
        <v/>
      </c>
      <c r="B23" s="62">
        <f>IF(A23=0,0,MID("DOMSegTerQuaQuiSexSAB",3*WEEKDAY(A23)-2,3))</f>
        <v/>
      </c>
      <c r="C23" s="8" t="n"/>
      <c r="D23" s="8" t="n"/>
      <c r="E23" s="9" t="n"/>
      <c r="F23" s="9" t="n"/>
      <c r="G23" s="9" t="n"/>
      <c r="H23" s="9" t="n"/>
      <c r="I23" s="8" t="n"/>
      <c r="J23" s="5">
        <f>(D23-C23+F23-E23+H23-G23)*24</f>
        <v/>
      </c>
      <c r="K23" s="35" t="n"/>
    </row>
    <row r="24">
      <c r="A24" s="13">
        <f>IF(A23&gt;=$D$4,0,IF(A23=0,0,1+A23))</f>
        <v/>
      </c>
      <c r="B24" s="63">
        <f>IF(A24=0,0,MID("DOMSegTerQuaQuiSexSAB",3*WEEKDAY(A24)-2,3))</f>
        <v/>
      </c>
      <c r="C24" s="8" t="n"/>
      <c r="D24" s="8" t="n"/>
      <c r="E24" s="9" t="n"/>
      <c r="F24" s="9" t="n"/>
      <c r="G24" s="9" t="n"/>
      <c r="H24" s="9" t="n"/>
      <c r="I24" s="8" t="n"/>
      <c r="J24" s="5">
        <f>(D24-C24+F24-E24+H24-G24)*24</f>
        <v/>
      </c>
      <c r="K24" s="35" t="n"/>
    </row>
    <row r="25">
      <c r="A25" s="13">
        <f>IF(A24&gt;=$D$4,0,IF(A24=0,0,1+A24))</f>
        <v/>
      </c>
      <c r="B25" s="63">
        <f>IF(A25=0,0,MID("DOMSegTerQuaQuiSexSAB",3*WEEKDAY(A25)-2,3))</f>
        <v/>
      </c>
      <c r="C25" s="8" t="n"/>
      <c r="D25" s="8" t="n"/>
      <c r="E25" s="9" t="n"/>
      <c r="F25" s="9" t="n"/>
      <c r="G25" s="9" t="n"/>
      <c r="H25" s="9" t="n"/>
      <c r="I25" s="8" t="n"/>
      <c r="J25" s="5">
        <f>(D25-C25+F25-E25+H25-G25)*24</f>
        <v/>
      </c>
      <c r="K25" s="35" t="n"/>
    </row>
    <row r="26">
      <c r="A26" s="7">
        <f>IF(A25&gt;=$D$4,0,IF(A25=0,0,1+A25))</f>
        <v/>
      </c>
      <c r="B26" s="62">
        <f>IF(A26=0,0,MID("DOMSegTerQuaQuiSexSAB",3*WEEKDAY(A26)-2,3))</f>
        <v/>
      </c>
      <c r="C26" s="8" t="n"/>
      <c r="D26" s="8" t="n"/>
      <c r="E26" s="9" t="n"/>
      <c r="F26" s="9" t="n"/>
      <c r="G26" s="9" t="n"/>
      <c r="H26" s="9" t="n"/>
      <c r="I26" s="8" t="n"/>
      <c r="J26" s="5">
        <f>(D26-C26+F26-E26+H26-G26)*24</f>
        <v/>
      </c>
      <c r="K26" s="35" t="n"/>
    </row>
    <row r="27">
      <c r="A27" s="7">
        <f>IF(A26&gt;=$D$4,0,IF(A26=0,0,1+A26))</f>
        <v/>
      </c>
      <c r="B27" s="62">
        <f>IF(A27=0,0,MID("DOMSegTerQuaQuiSexSAB",3*WEEKDAY(A27)-2,3))</f>
        <v/>
      </c>
      <c r="C27" s="8" t="n"/>
      <c r="D27" s="8" t="n"/>
      <c r="E27" s="9" t="n"/>
      <c r="F27" s="9" t="n"/>
      <c r="G27" s="14" t="n"/>
      <c r="H27" s="9" t="n"/>
      <c r="I27" s="8" t="n"/>
      <c r="J27" s="5">
        <f>(D27-C27+F27-E27+H27-G27)*24</f>
        <v/>
      </c>
      <c r="K27" s="37" t="n"/>
    </row>
    <row r="28">
      <c r="A28" s="7">
        <f>IF(A27&gt;=$D$4,0,IF(A27=0,0,1+A27))</f>
        <v/>
      </c>
      <c r="B28" s="62">
        <f>IF(A28=0,0,MID("DOMSegTerQuaQuiSexSAB",3*WEEKDAY(A28)-2,3))</f>
        <v/>
      </c>
      <c r="C28" s="8" t="n"/>
      <c r="D28" s="8" t="n"/>
      <c r="E28" s="9" t="n"/>
      <c r="F28" s="9" t="n"/>
      <c r="G28" s="9" t="n"/>
      <c r="H28" s="9" t="n"/>
      <c r="I28" s="8" t="n"/>
      <c r="J28" s="5">
        <f>(D28-C28+F28-E28+H28-G28)*24</f>
        <v/>
      </c>
      <c r="K28" s="35" t="n"/>
    </row>
    <row r="29">
      <c r="A29" s="7">
        <f>IF(A28&gt;=$D$4,0,IF(A28=0,0,1+A28))</f>
        <v/>
      </c>
      <c r="B29" s="62">
        <f>IF(A29=0,0,MID("DOMSegTerQuaQuiSexSAB",3*WEEKDAY(A29)-2,3))</f>
        <v/>
      </c>
      <c r="C29" s="8" t="n"/>
      <c r="D29" s="8" t="n"/>
      <c r="E29" s="9" t="n"/>
      <c r="F29" s="9" t="n"/>
      <c r="G29" s="9" t="n"/>
      <c r="H29" s="9" t="n"/>
      <c r="I29" s="8" t="n"/>
      <c r="J29" s="5">
        <f>(D29-C29+F29-E29+H29-G29)*24</f>
        <v/>
      </c>
      <c r="K29" s="35" t="n"/>
    </row>
    <row r="30">
      <c r="A30" s="7">
        <f>IF(A29&gt;=$D$4,0,IF(A29=0,0,1+A29))</f>
        <v/>
      </c>
      <c r="B30" s="62">
        <f>IF(A30=0,0,MID("DOMSegTerQuaQuiSexSAB",3*WEEKDAY(A30)-2,3))</f>
        <v/>
      </c>
      <c r="C30" s="8" t="n"/>
      <c r="D30" s="8" t="n"/>
      <c r="E30" s="9" t="n"/>
      <c r="F30" s="9" t="n"/>
      <c r="G30" s="9" t="n"/>
      <c r="H30" s="9" t="n"/>
      <c r="I30" s="8" t="n"/>
      <c r="J30" s="5">
        <f>(D30-C30+F30-E30+H30-G30)*24</f>
        <v/>
      </c>
      <c r="K30" s="35" t="n"/>
    </row>
    <row r="31">
      <c r="A31" s="7">
        <f>IF(A30&gt;=$D$4,0,IF(A30=0,0,1+A30))</f>
        <v/>
      </c>
      <c r="B31" s="62">
        <f>IF(A31=0,0,MID("DOMSegTerQuaQuiSexSAB",3*WEEKDAY(A31)-2,3))</f>
        <v/>
      </c>
      <c r="C31" s="8" t="n"/>
      <c r="D31" s="8" t="n"/>
      <c r="E31" s="9" t="n"/>
      <c r="F31" s="9" t="n"/>
      <c r="G31" s="9" t="n"/>
      <c r="H31" s="9" t="n"/>
      <c r="I31" s="8" t="n"/>
      <c r="J31" s="5">
        <f>(D31-C31+F31-E31+H31-G31)*24</f>
        <v/>
      </c>
      <c r="K31" s="35" t="n"/>
    </row>
    <row r="32">
      <c r="A32" s="7">
        <f>IF(A31&gt;=$D$4,0,IF(A31=0,0,1+A31))</f>
        <v/>
      </c>
      <c r="B32" s="62">
        <f>IF(A32=0,0,MID("DOMSegTerQuaQuiSexSAB",3*WEEKDAY(A32)-2,3))</f>
        <v/>
      </c>
      <c r="C32" s="8" t="n"/>
      <c r="D32" s="8" t="n"/>
      <c r="E32" s="9" t="n"/>
      <c r="F32" s="9" t="n"/>
      <c r="G32" s="9" t="n"/>
      <c r="H32" s="9" t="n"/>
      <c r="I32" s="8" t="n"/>
      <c r="J32" s="5">
        <f>(D32-C32+F32-E32+H32-G32)*24</f>
        <v/>
      </c>
      <c r="K32" s="35" t="n"/>
    </row>
    <row r="33">
      <c r="A33" s="7">
        <f>IF(A32&gt;=$D$4,0,IF(A32=0,0,1+A32))</f>
        <v/>
      </c>
      <c r="B33" s="62">
        <f>IF(A33=0,0,MID("DOMSegTerQuaQuiSexSAB",3*WEEKDAY(A33)-2,3))</f>
        <v/>
      </c>
      <c r="C33" s="8" t="n"/>
      <c r="D33" s="8" t="n"/>
      <c r="E33" s="9" t="n"/>
      <c r="F33" s="9" t="n"/>
      <c r="G33" s="9" t="n"/>
      <c r="H33" s="9" t="n"/>
      <c r="I33" s="8" t="n"/>
      <c r="J33" s="5">
        <f>(D33-C33+F33-E33+H33-G33)*24</f>
        <v/>
      </c>
      <c r="K33" s="35" t="n"/>
    </row>
    <row r="34">
      <c r="A34" s="7">
        <f>IF(A33&gt;=$D$4,0,IF(A33=0,0,1+A33))</f>
        <v/>
      </c>
      <c r="B34" s="62">
        <f>IF(A34=0,0,MID("DOMSegTerQuaQuiSexSAB",3*WEEKDAY(A34)-2,3))</f>
        <v/>
      </c>
      <c r="C34" s="8" t="n"/>
      <c r="D34" s="8" t="n"/>
      <c r="E34" s="9" t="n"/>
      <c r="F34" s="9" t="n"/>
      <c r="G34" s="9" t="n"/>
      <c r="H34" s="9" t="n"/>
      <c r="I34" s="8" t="n"/>
      <c r="J34" s="5">
        <f>(D34-C34+F34-E34+H34-G34)*24</f>
        <v/>
      </c>
      <c r="K34" s="35" t="n"/>
    </row>
    <row r="35">
      <c r="A35" s="7">
        <f>IF(A34&gt;=$D$4,0,IF(A34=0,0,1+A34))</f>
        <v/>
      </c>
      <c r="B35" s="62">
        <f>IF(A35=0,0,MID("DOMSegTerQuaQuiSexSAB",3*WEEKDAY(A35)-2,3))</f>
        <v/>
      </c>
      <c r="C35" s="8" t="n"/>
      <c r="D35" s="8" t="n"/>
      <c r="E35" s="9" t="n"/>
      <c r="F35" s="9" t="n"/>
      <c r="G35" s="9" t="n"/>
      <c r="H35" s="9" t="n"/>
      <c r="I35" s="8" t="n"/>
      <c r="J35" s="5">
        <f>(D35-C35+F35-E35+H35-G35)*24</f>
        <v/>
      </c>
      <c r="K35" s="35" t="n"/>
    </row>
    <row r="36">
      <c r="A36" s="7">
        <f>IF(A35&gt;=$D$4,0,IF(A35=0,0,1+A35))</f>
        <v/>
      </c>
      <c r="B36" s="62">
        <f>IF(A36=0,0,MID("DOMSegTerQuaQuiSexSAB",3*WEEKDAY(A36)-2,3))</f>
        <v/>
      </c>
      <c r="C36" s="8" t="n"/>
      <c r="D36" s="8" t="n"/>
      <c r="E36" s="9" t="n"/>
      <c r="F36" s="9" t="n"/>
      <c r="G36" s="9" t="n"/>
      <c r="H36" s="9" t="n"/>
      <c r="I36" s="8" t="n"/>
      <c r="J36" s="5">
        <f>(D36-C36+F36-E36+H36-G36)*24</f>
        <v/>
      </c>
      <c r="K36" s="35" t="n"/>
    </row>
    <row r="37">
      <c r="A37" s="7">
        <f>IF(A36&gt;=$D$4,0,IF(A36=0,0,1+A36))</f>
        <v/>
      </c>
      <c r="B37" s="62">
        <f>IF(A37=0,0,MID("DOMSegTerQuaQuiSexSAB",3*WEEKDAY(A37)-2,3))</f>
        <v/>
      </c>
      <c r="C37" s="8" t="n"/>
      <c r="D37" s="8" t="n"/>
      <c r="E37" s="9" t="n"/>
      <c r="F37" s="9" t="n"/>
      <c r="G37" s="9" t="n"/>
      <c r="H37" s="9" t="n"/>
      <c r="I37" s="8" t="n"/>
      <c r="J37" s="5">
        <f>(D37-C37+F37-E37+H37-G37)*24</f>
        <v/>
      </c>
      <c r="K37" s="35" t="n"/>
    </row>
    <row r="38">
      <c r="A38" s="7">
        <f>IF(A37&gt;=$D$4,0,IF(A37=0,0,1+A37))</f>
        <v/>
      </c>
      <c r="B38" s="62">
        <f>IF(A38=0,0,MID("DOMSegTerQuaQuiSexSAB",3*WEEKDAY(A38)-2,3))</f>
        <v/>
      </c>
      <c r="C38" s="8" t="n"/>
      <c r="D38" s="8" t="n"/>
      <c r="E38" s="9" t="n"/>
      <c r="F38" s="9" t="n"/>
      <c r="G38" s="9" t="n"/>
      <c r="H38" s="9" t="n"/>
      <c r="I38" s="8" t="n"/>
      <c r="J38" s="5">
        <f>(D38-C38+F38-E38+H38-G38)*24</f>
        <v/>
      </c>
      <c r="K38" s="35" t="n"/>
    </row>
    <row r="39">
      <c r="A39" s="7">
        <f>IF(A38&gt;=$D$4,0,IF(A38=0,0,1+A38))</f>
        <v/>
      </c>
      <c r="B39" s="62">
        <f>IF(A39=0,0,MID("DOMSegTerQuaQuiSexSAB",3*WEEKDAY(A39)-2,3))</f>
        <v/>
      </c>
      <c r="C39" s="8" t="n"/>
      <c r="D39" s="8" t="n"/>
      <c r="E39" s="9" t="n"/>
      <c r="F39" s="9" t="n"/>
      <c r="G39" s="9" t="n"/>
      <c r="H39" s="9" t="n"/>
      <c r="I39" s="8" t="n"/>
      <c r="J39" s="5">
        <f>(D39-C39+F39-E39+H39-G39)*24</f>
        <v/>
      </c>
      <c r="K39" s="35" t="n"/>
    </row>
    <row r="40">
      <c r="A40" s="7">
        <f>IF(A39&gt;=$D$4,0,IF(A39=0,0,1+A39))</f>
        <v/>
      </c>
      <c r="B40" s="62">
        <f>IF(A40=0,0,MID("DOMSegTerQuaQuiSexSAB",3*WEEKDAY(A40)-2,3))</f>
        <v/>
      </c>
      <c r="C40" s="8" t="n"/>
      <c r="D40" s="8" t="n"/>
      <c r="E40" s="9" t="n"/>
      <c r="F40" s="9" t="n"/>
      <c r="G40" s="9" t="n"/>
      <c r="H40" s="9" t="n"/>
      <c r="I40" s="8" t="n"/>
      <c r="J40" s="5">
        <f>(D40-C40+F40-E40+H40-G40)*24</f>
        <v/>
      </c>
      <c r="K40" s="35" t="n"/>
    </row>
    <row r="41">
      <c r="A41" s="7">
        <f>IF(A40&gt;=$D$4,0,IF(A40=0,0,1+A40))</f>
        <v/>
      </c>
      <c r="B41" s="62">
        <f>IF(A41=0,0,MID("DOMSegTerQuaQuiSexSAB",3*WEEKDAY(A41)-2,3))</f>
        <v/>
      </c>
      <c r="C41" s="8" t="n"/>
      <c r="D41" s="8" t="n"/>
      <c r="E41" s="9" t="n"/>
      <c r="F41" s="9" t="n"/>
      <c r="G41" s="9" t="n"/>
      <c r="H41" s="9" t="n"/>
      <c r="I41" s="8" t="n"/>
      <c r="J41" s="5">
        <f>(D41-C41+F41-E41+H41-G41)*24</f>
        <v/>
      </c>
      <c r="K41" s="35" t="n"/>
    </row>
    <row r="42">
      <c r="A42" s="7">
        <f>IF(A41&gt;=$D$4,0,IF(A41=0,0,1+A41))</f>
        <v/>
      </c>
      <c r="B42" s="62">
        <f>IF(A42=0,0,MID("DOMSegTerQuaQuiSexSAB",3*WEEKDAY(A42)-2,3))</f>
        <v/>
      </c>
      <c r="C42" s="8" t="n"/>
      <c r="D42" s="8" t="n"/>
      <c r="E42" s="9" t="n"/>
      <c r="F42" s="9" t="n"/>
      <c r="G42" s="9" t="n"/>
      <c r="H42" s="9" t="n"/>
      <c r="I42" s="8" t="n"/>
      <c r="J42" s="5">
        <f>(D42-C42+F42-E42+H42-G42)*24</f>
        <v/>
      </c>
      <c r="K42" s="35" t="n"/>
    </row>
    <row r="43" ht="13" customHeight="1" thickBot="1">
      <c r="A43" s="7">
        <f>IF(A42&gt;=$D$4,0,IF(A42=0,0,1+A42))</f>
        <v/>
      </c>
      <c r="B43" s="62">
        <f>IF(A43=0,0,MID("DOMSegTerQuaQuiSexSAB",3*WEEKDAY(A43)-2,3))</f>
        <v/>
      </c>
      <c r="C43" s="8" t="n"/>
      <c r="D43" s="8" t="n"/>
      <c r="E43" s="8" t="n"/>
      <c r="F43" s="9" t="n"/>
      <c r="G43" s="9" t="n"/>
      <c r="H43" s="9" t="n"/>
      <c r="I43" s="8" t="n"/>
      <c r="J43" s="5">
        <f>(D43-C43+F43-E43+H43-G43)*24</f>
        <v/>
      </c>
      <c r="K43" s="35" t="n"/>
    </row>
    <row r="44" ht="15" customHeight="1" thickBot="1">
      <c r="C44" s="15" t="n"/>
      <c r="D44" s="15" t="n"/>
      <c r="E44" s="15" t="n"/>
      <c r="F44" s="15" t="n"/>
      <c r="G44" s="15" t="n"/>
      <c r="H44" s="15" t="n"/>
      <c r="I44" s="15" t="n"/>
      <c r="J44" s="18">
        <f>SUM(J$13:J$43)</f>
        <v/>
      </c>
    </row>
    <row r="45" ht="13.25" customHeight="1">
      <c r="C45" s="15" t="n"/>
      <c r="D45" s="15" t="n"/>
      <c r="E45" s="15" t="n"/>
      <c r="F45" s="15" t="n"/>
      <c r="G45" s="15" t="n"/>
      <c r="H45" s="15" t="n"/>
      <c r="I45" s="15" t="n"/>
    </row>
  </sheetData>
  <mergeCells count="7">
    <mergeCell ref="C4:C5"/>
    <mergeCell ref="D5:E5"/>
    <mergeCell ref="H5:I5"/>
    <mergeCell ref="D4:E4"/>
    <mergeCell ref="H4:I4"/>
    <mergeCell ref="A1:K2"/>
    <mergeCell ref="A12:B12"/>
  </mergeCells>
  <conditionalFormatting sqref="B13:B43">
    <cfRule type="containsText" priority="1" operator="containsText" dxfId="2" text="DOM">
      <formula>NOT(ISERROR(SEARCH("DOM",B13)))</formula>
    </cfRule>
    <cfRule type="containsText" priority="2" operator="containsText" dxfId="2" text="SAB">
      <formula>NOT(ISERROR(SEARCH("SAB",B13)))</formula>
    </cfRule>
  </conditionalFormatting>
  <conditionalFormatting sqref="G13:I43">
    <cfRule type="expression" priority="7" dxfId="0" stopIfTrue="1">
      <formula>AND(#REF!=0,0=#REF!)</formula>
    </cfRule>
  </conditionalFormatting>
  <conditionalFormatting sqref="K13:K43">
    <cfRule type="expression" priority="3" dxfId="0" stopIfTrue="1">
      <formula>AND(#REF!=0,0=#REF!)</formula>
    </cfRule>
  </conditionalFormatting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H6" sqref="H6"/>
    </sheetView>
  </sheetViews>
  <sheetFormatPr baseColWidth="10" defaultColWidth="9.796875" defaultRowHeight="12"/>
  <cols>
    <col width="9.796875" customWidth="1" style="4" min="1" max="9"/>
    <col width="12.796875" customWidth="1" style="2" min="10" max="10"/>
    <col width="21" customWidth="1" style="4" min="11" max="11"/>
    <col width="9.796875" customWidth="1" style="4" min="12" max="16384"/>
  </cols>
  <sheetData>
    <row r="1" ht="12.75" customHeight="1">
      <c r="A1" s="75" t="inlineStr">
        <is>
          <t>HORAS DE SERVIÇO</t>
        </is>
      </c>
    </row>
    <row r="2" ht="11.25" customHeight="1"/>
    <row r="3" ht="13" customHeight="1" thickBot="1"/>
    <row r="4" ht="13.5" customHeight="1" thickBot="1">
      <c r="A4" s="1" t="inlineStr">
        <is>
          <t>Período:</t>
        </is>
      </c>
      <c r="B4" s="89" t="n">
        <v>45870</v>
      </c>
      <c r="C4" s="72" t="inlineStr">
        <is>
          <t>a</t>
        </is>
      </c>
      <c r="D4" s="90" t="n">
        <v>45900</v>
      </c>
      <c r="E4" s="91" t="n"/>
      <c r="H4" s="32" t="inlineStr">
        <is>
          <t>Total de horas úteis</t>
        </is>
      </c>
      <c r="I4" s="92" t="n"/>
      <c r="J4" s="32" t="inlineStr">
        <is>
          <t>Saldo</t>
        </is>
      </c>
    </row>
    <row r="5" ht="13.5" customHeight="1" thickBot="1">
      <c r="B5" s="93">
        <f>B4</f>
        <v/>
      </c>
      <c r="C5" s="94" t="n"/>
      <c r="D5" s="95">
        <f>D4</f>
        <v/>
      </c>
      <c r="E5" s="96" t="n"/>
      <c r="H5" s="97">
        <f>21*8</f>
        <v/>
      </c>
      <c r="I5" s="92" t="n"/>
      <c r="J5" s="31">
        <f>J44-H5</f>
        <v/>
      </c>
    </row>
    <row r="6">
      <c r="C6" s="6" t="n"/>
      <c r="E6" s="6" t="n"/>
      <c r="H6" s="28" t="n"/>
      <c r="I6" s="29" t="n"/>
      <c r="J6" s="29" t="n"/>
      <c r="K6" s="30" t="n"/>
    </row>
    <row r="7">
      <c r="C7" s="6" t="n"/>
      <c r="E7" s="6" t="n"/>
      <c r="G7" s="25" t="n"/>
      <c r="H7" s="2" t="n"/>
      <c r="I7" s="2" t="n"/>
      <c r="J7" s="26" t="n"/>
    </row>
    <row r="8" ht="18.75" customHeight="1">
      <c r="A8" s="27" t="inlineStr">
        <is>
          <t xml:space="preserve">Nome:  </t>
        </is>
      </c>
      <c r="B8" s="38">
        <f>'Julho - 2025'!B8</f>
        <v/>
      </c>
      <c r="C8" s="39" t="n"/>
      <c r="D8" s="39" t="n"/>
      <c r="E8" s="39" t="n"/>
      <c r="F8" s="40" t="n"/>
      <c r="G8" s="3" t="n"/>
      <c r="H8" s="3" t="n"/>
      <c r="I8" s="3" t="n"/>
      <c r="J8" s="3" t="n"/>
    </row>
    <row r="9" ht="16.5" customHeight="1">
      <c r="A9" s="27" t="inlineStr">
        <is>
          <t xml:space="preserve">Projeto: </t>
        </is>
      </c>
      <c r="B9" s="57">
        <f>'Julho - 2025'!B9</f>
        <v/>
      </c>
      <c r="C9" s="58" t="n"/>
      <c r="D9" s="58" t="n"/>
      <c r="E9" s="58" t="n"/>
      <c r="F9" s="59" t="n"/>
      <c r="G9" s="3" t="n"/>
      <c r="H9" s="3" t="n"/>
      <c r="I9" s="3" t="n"/>
      <c r="J9" s="3" t="n"/>
    </row>
    <row r="10">
      <c r="A10" s="1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4" t="n"/>
    </row>
    <row r="11" ht="15" customHeight="1"/>
    <row r="12" ht="18.75" customHeight="1">
      <c r="A12" s="71" t="inlineStr">
        <is>
          <t>Dia</t>
        </is>
      </c>
      <c r="B12" s="98" t="n"/>
      <c r="C12" s="71" t="inlineStr">
        <is>
          <t>Entr.</t>
        </is>
      </c>
      <c r="D12" s="21" t="inlineStr">
        <is>
          <t>Saída</t>
        </is>
      </c>
      <c r="E12" s="22" t="inlineStr">
        <is>
          <t>Entr.</t>
        </is>
      </c>
      <c r="F12" s="23" t="inlineStr">
        <is>
          <t>Saída</t>
        </is>
      </c>
      <c r="G12" s="71" t="inlineStr">
        <is>
          <t>Entr.</t>
        </is>
      </c>
      <c r="H12" s="21" t="inlineStr">
        <is>
          <t>Saída</t>
        </is>
      </c>
      <c r="I12" s="70" t="n"/>
      <c r="J12" s="24" t="inlineStr">
        <is>
          <t>Geral</t>
        </is>
      </c>
      <c r="K12" s="24" t="inlineStr">
        <is>
          <t>Observações</t>
        </is>
      </c>
    </row>
    <row r="13">
      <c r="A13" s="20">
        <f>B4</f>
        <v/>
      </c>
      <c r="B13" s="61">
        <f>IF(A13=0,0,MID("DOMSegTerQuaQuiSexSAB",3*WEEKDAY(A13)-2,3))</f>
        <v/>
      </c>
      <c r="C13" s="8" t="n"/>
      <c r="D13" s="8" t="n"/>
      <c r="E13" s="9" t="n"/>
      <c r="F13" s="9" t="n"/>
      <c r="G13" s="9" t="n"/>
      <c r="H13" s="9" t="n"/>
      <c r="I13" s="8" t="n"/>
      <c r="J13" s="5">
        <f>(D13-C13+F13-E13+H13-G13)*24</f>
        <v/>
      </c>
      <c r="K13" s="35" t="n"/>
    </row>
    <row r="14">
      <c r="A14" s="7">
        <f>IF(A13&gt;=$D$4,0,IF(A13=0,0,1+A13))</f>
        <v/>
      </c>
      <c r="B14" s="62">
        <f>IF(A14=0,0,MID("DOMSegTerQuaQuiSexSAB",3*WEEKDAY(A14)-2,3))</f>
        <v/>
      </c>
      <c r="C14" s="8" t="n"/>
      <c r="D14" s="8" t="n"/>
      <c r="E14" s="9" t="n"/>
      <c r="F14" s="9" t="n"/>
      <c r="G14" s="9" t="n"/>
      <c r="H14" s="9" t="n"/>
      <c r="I14" s="8" t="n"/>
      <c r="J14" s="5">
        <f>(D14-C14+F14-E14+H14-G14)*24</f>
        <v/>
      </c>
      <c r="K14" s="35" t="n"/>
    </row>
    <row r="15">
      <c r="A15" s="7">
        <f>IF(A14&gt;=$D$4,0,IF(A14=0,0,1+A14))</f>
        <v/>
      </c>
      <c r="B15" s="62">
        <f>IF(A15=0,0,MID("DOMSegTerQuaQuiSexSAB",3*WEEKDAY(A15)-2,3))</f>
        <v/>
      </c>
      <c r="C15" s="8" t="n"/>
      <c r="D15" s="8" t="n"/>
      <c r="E15" s="9" t="n"/>
      <c r="F15" s="9" t="n"/>
      <c r="G15" s="9" t="n"/>
      <c r="H15" s="9" t="n"/>
      <c r="I15" s="8" t="n"/>
      <c r="J15" s="5">
        <f>(D15-C15+F15-E15+H15-G15)*24</f>
        <v/>
      </c>
      <c r="K15" s="35" t="n"/>
    </row>
    <row r="16">
      <c r="A16" s="7">
        <f>IF(A15&gt;=$D$4,0,IF(A15=0,0,1+A15))</f>
        <v/>
      </c>
      <c r="B16" s="62">
        <f>IF(A16=0,0,MID("DOMSegTerQuaQuiSexSAB",3*WEEKDAY(A16)-2,3))</f>
        <v/>
      </c>
      <c r="C16" s="8" t="n"/>
      <c r="D16" s="8" t="n"/>
      <c r="E16" s="9" t="n"/>
      <c r="F16" s="9" t="n"/>
      <c r="G16" s="9" t="n"/>
      <c r="H16" s="9" t="n"/>
      <c r="I16" s="8" t="n"/>
      <c r="J16" s="5">
        <f>(D16-C16+F16-E16+H16-G16)*24</f>
        <v/>
      </c>
      <c r="K16" s="35" t="n"/>
    </row>
    <row r="17">
      <c r="A17" s="7">
        <f>IF(A16&gt;=$D$4,0,IF(A16=0,0,1+A16))</f>
        <v/>
      </c>
      <c r="B17" s="62">
        <f>IF(A17=0,0,MID("DOMSegTerQuaQuiSexSAB",3*WEEKDAY(A17)-2,3))</f>
        <v/>
      </c>
      <c r="C17" s="8" t="n"/>
      <c r="D17" s="8" t="n"/>
      <c r="E17" s="9" t="n"/>
      <c r="F17" s="9" t="n"/>
      <c r="G17" s="9" t="n"/>
      <c r="H17" s="9" t="n"/>
      <c r="I17" s="8" t="n"/>
      <c r="J17" s="5">
        <f>(D17-C17+F17-E17+H17-G17)*24</f>
        <v/>
      </c>
      <c r="K17" s="35" t="n"/>
    </row>
    <row r="18">
      <c r="A18" s="7">
        <f>IF(A17&gt;=$D$4,0,IF(A17=0,0,1+A17))</f>
        <v/>
      </c>
      <c r="B18" s="62">
        <f>IF(A18=0,0,MID("DOMSegTerQuaQuiSexSAB",3*WEEKDAY(A18)-2,3))</f>
        <v/>
      </c>
      <c r="C18" s="8" t="n"/>
      <c r="D18" s="8" t="n"/>
      <c r="E18" s="9" t="n"/>
      <c r="F18" s="9" t="n"/>
      <c r="G18" s="9" t="n"/>
      <c r="H18" s="9" t="n"/>
      <c r="I18" s="8" t="n"/>
      <c r="J18" s="5">
        <f>(D18-C18+F18-E18+H18-G18)*24</f>
        <v/>
      </c>
      <c r="K18" s="35" t="n"/>
    </row>
    <row r="19">
      <c r="A19" s="7">
        <f>IF(A18&gt;=$D$4,0,IF(A18=0,0,1+A18))</f>
        <v/>
      </c>
      <c r="B19" s="62">
        <f>IF(A19=0,0,MID("DOMSegTerQuaQuiSexSAB",3*WEEKDAY(A19)-2,3))</f>
        <v/>
      </c>
      <c r="C19" s="11" t="n"/>
      <c r="D19" s="11" t="n"/>
      <c r="E19" s="12" t="n"/>
      <c r="F19" s="12" t="n"/>
      <c r="G19" s="12" t="n"/>
      <c r="H19" s="12" t="n"/>
      <c r="I19" s="11" t="n"/>
      <c r="J19" s="5">
        <f>(D19-C19+F19-E19+H19-G19)*24</f>
        <v/>
      </c>
      <c r="K19" s="36" t="n"/>
    </row>
    <row r="20">
      <c r="A20" s="7">
        <f>IF(A19&gt;=$D$4,0,IF(A19=0,0,1+A19))</f>
        <v/>
      </c>
      <c r="B20" s="62">
        <f>IF(A20=0,0,MID("DOMSegTerQuaQuiSexSAB",3*WEEKDAY(A20)-2,3))</f>
        <v/>
      </c>
      <c r="C20" s="8" t="n"/>
      <c r="D20" s="8" t="n"/>
      <c r="E20" s="9" t="n"/>
      <c r="F20" s="9" t="n"/>
      <c r="G20" s="9" t="n"/>
      <c r="H20" s="9" t="n"/>
      <c r="I20" s="8" t="n"/>
      <c r="J20" s="5">
        <f>(D20-C20+F20-E20+H20-G20)*24</f>
        <v/>
      </c>
      <c r="K20" s="35" t="n"/>
    </row>
    <row r="21">
      <c r="A21" s="7">
        <f>IF(A20&gt;=$D$4,0,IF(A20=0,0,1+A20))</f>
        <v/>
      </c>
      <c r="B21" s="62">
        <f>IF(A21=0,0,MID("DOMSegTerQuaQuiSexSAB",3*WEEKDAY(A21)-2,3))</f>
        <v/>
      </c>
      <c r="C21" s="8" t="n"/>
      <c r="D21" s="8" t="n"/>
      <c r="E21" s="9" t="n"/>
      <c r="F21" s="9" t="n"/>
      <c r="G21" s="9" t="n"/>
      <c r="H21" s="9" t="n"/>
      <c r="I21" s="8" t="n"/>
      <c r="J21" s="5">
        <f>(D21-C21+F21-E21+H21-G21)*24</f>
        <v/>
      </c>
      <c r="K21" s="35" t="n"/>
    </row>
    <row r="22">
      <c r="A22" s="7">
        <f>IF(A21&gt;=$D$4,0,IF(A21=0,0,1+A21))</f>
        <v/>
      </c>
      <c r="B22" s="62">
        <f>IF(A22=0,0,MID("DOMSegTerQuaQuiSexSAB",3*WEEKDAY(A22)-2,3))</f>
        <v/>
      </c>
      <c r="C22" s="8" t="n"/>
      <c r="D22" s="8" t="n"/>
      <c r="E22" s="9" t="n"/>
      <c r="F22" s="9" t="n"/>
      <c r="G22" s="9" t="n"/>
      <c r="H22" s="9" t="n"/>
      <c r="I22" s="8" t="n"/>
      <c r="J22" s="5">
        <f>(D22-C22+F22-E22+H22-G22)*24</f>
        <v/>
      </c>
      <c r="K22" s="35" t="n"/>
    </row>
    <row r="23">
      <c r="A23" s="7">
        <f>IF(A22&gt;=$D$4,0,IF(A22=0,0,1+A22))</f>
        <v/>
      </c>
      <c r="B23" s="62">
        <f>IF(A23=0,0,MID("DOMSegTerQuaQuiSexSAB",3*WEEKDAY(A23)-2,3))</f>
        <v/>
      </c>
      <c r="C23" s="8" t="n"/>
      <c r="D23" s="8" t="n"/>
      <c r="E23" s="9" t="n"/>
      <c r="F23" s="9" t="n"/>
      <c r="G23" s="9" t="n"/>
      <c r="H23" s="9" t="n"/>
      <c r="I23" s="8" t="n"/>
      <c r="J23" s="5">
        <f>(D23-C23+F23-E23+H23-G23)*24</f>
        <v/>
      </c>
      <c r="K23" s="35" t="n"/>
    </row>
    <row r="24">
      <c r="A24" s="13">
        <f>IF(A23&gt;=$D$4,0,IF(A23=0,0,1+A23))</f>
        <v/>
      </c>
      <c r="B24" s="63">
        <f>IF(A24=0,0,MID("DOMSegTerQuaQuiSexSAB",3*WEEKDAY(A24)-2,3))</f>
        <v/>
      </c>
      <c r="C24" s="8" t="n"/>
      <c r="D24" s="8" t="n"/>
      <c r="E24" s="9" t="n"/>
      <c r="F24" s="9" t="n"/>
      <c r="G24" s="9" t="n"/>
      <c r="H24" s="9" t="n"/>
      <c r="I24" s="8" t="n"/>
      <c r="J24" s="5">
        <f>(D24-C24+F24-E24+H24-G24)*24</f>
        <v/>
      </c>
      <c r="K24" s="35" t="n"/>
    </row>
    <row r="25">
      <c r="A25" s="13">
        <f>IF(A24&gt;=$D$4,0,IF(A24=0,0,1+A24))</f>
        <v/>
      </c>
      <c r="B25" s="62">
        <f>IF(A25=0,0,MID("DOMSegTerQuaQuiSexSAB",3*WEEKDAY(A25)-2,3))</f>
        <v/>
      </c>
      <c r="C25" s="8" t="n"/>
      <c r="D25" s="8" t="n"/>
      <c r="E25" s="9" t="n"/>
      <c r="F25" s="9" t="n"/>
      <c r="G25" s="9" t="n"/>
      <c r="H25" s="9" t="n"/>
      <c r="I25" s="8" t="n"/>
      <c r="J25" s="5">
        <f>(D25-C25+F25-E25+H25-G25)*24</f>
        <v/>
      </c>
      <c r="K25" s="35" t="n"/>
    </row>
    <row r="26">
      <c r="A26" s="7">
        <f>IF(A25&gt;=$D$4,0,IF(A25=0,0,1+A25))</f>
        <v/>
      </c>
      <c r="B26" s="62">
        <f>IF(A26=0,0,MID("DOMSegTerQuaQuiSexSAB",3*WEEKDAY(A26)-2,3))</f>
        <v/>
      </c>
      <c r="C26" s="8" t="n"/>
      <c r="D26" s="8" t="n"/>
      <c r="E26" s="9" t="n"/>
      <c r="F26" s="9" t="n"/>
      <c r="G26" s="9" t="n"/>
      <c r="H26" s="9" t="n"/>
      <c r="I26" s="8" t="n"/>
      <c r="J26" s="5">
        <f>(D26-C26+F26-E26+H26-G26)*24</f>
        <v/>
      </c>
      <c r="K26" s="35" t="n"/>
    </row>
    <row r="27">
      <c r="A27" s="7">
        <f>IF(A26&gt;=$D$4,0,IF(A26=0,0,1+A26))</f>
        <v/>
      </c>
      <c r="B27" s="62">
        <f>IF(A27=0,0,MID("DOMSegTerQuaQuiSexSAB",3*WEEKDAY(A27)-2,3))</f>
        <v/>
      </c>
      <c r="C27" s="8" t="n"/>
      <c r="D27" s="8" t="n"/>
      <c r="E27" s="9" t="n"/>
      <c r="F27" s="9" t="n"/>
      <c r="G27" s="14" t="n"/>
      <c r="H27" s="9" t="n"/>
      <c r="I27" s="8" t="n"/>
      <c r="J27" s="5">
        <f>(D27-C27+F27-E27+H27-G27)*24</f>
        <v/>
      </c>
      <c r="K27" s="37" t="n"/>
    </row>
    <row r="28">
      <c r="A28" s="7">
        <f>IF(A27&gt;=$D$4,0,IF(A27=0,0,1+A27))</f>
        <v/>
      </c>
      <c r="B28" s="62">
        <f>IF(A28=0,0,MID("DOMSegTerQuaQuiSexSAB",3*WEEKDAY(A28)-2,3))</f>
        <v/>
      </c>
      <c r="C28" s="8" t="n"/>
      <c r="D28" s="8" t="n"/>
      <c r="E28" s="9" t="n"/>
      <c r="F28" s="9" t="n"/>
      <c r="G28" s="9" t="n"/>
      <c r="H28" s="9" t="n"/>
      <c r="I28" s="8" t="n"/>
      <c r="J28" s="5">
        <f>(D28-C28+F28-E28+H28-G28)*24</f>
        <v/>
      </c>
      <c r="K28" s="35" t="n"/>
    </row>
    <row r="29">
      <c r="A29" s="7">
        <f>IF(A28&gt;=$D$4,0,IF(A28=0,0,1+A28))</f>
        <v/>
      </c>
      <c r="B29" s="62">
        <f>IF(A29=0,0,MID("DOMSegTerQuaQuiSexSAB",3*WEEKDAY(A29)-2,3))</f>
        <v/>
      </c>
      <c r="C29" s="8" t="n"/>
      <c r="D29" s="8" t="n"/>
      <c r="E29" s="9" t="n"/>
      <c r="F29" s="9" t="n"/>
      <c r="G29" s="9" t="n"/>
      <c r="H29" s="9" t="n"/>
      <c r="I29" s="8" t="n"/>
      <c r="J29" s="5">
        <f>(D29-C29+F29-E29+H29-G29)*24</f>
        <v/>
      </c>
      <c r="K29" s="35" t="n"/>
    </row>
    <row r="30">
      <c r="A30" s="7">
        <f>IF(A29&gt;=$D$4,0,IF(A29=0,0,1+A29))</f>
        <v/>
      </c>
      <c r="B30" s="62">
        <f>IF(A30=0,0,MID("DOMSegTerQuaQuiSexSAB",3*WEEKDAY(A30)-2,3))</f>
        <v/>
      </c>
      <c r="C30" s="8" t="n"/>
      <c r="D30" s="8" t="n"/>
      <c r="E30" s="9" t="n"/>
      <c r="F30" s="9" t="n"/>
      <c r="G30" s="9" t="n"/>
      <c r="H30" s="9" t="n"/>
      <c r="I30" s="8" t="n"/>
      <c r="J30" s="5">
        <f>(D30-C30+F30-E30+H30-G30)*24</f>
        <v/>
      </c>
      <c r="K30" s="35" t="n"/>
    </row>
    <row r="31">
      <c r="A31" s="7">
        <f>IF(A30&gt;=$D$4,0,IF(A30=0,0,1+A30))</f>
        <v/>
      </c>
      <c r="B31" s="62">
        <f>IF(A31=0,0,MID("DOMSegTerQuaQuiSexSAB",3*WEEKDAY(A31)-2,3))</f>
        <v/>
      </c>
      <c r="C31" s="8" t="n"/>
      <c r="D31" s="8" t="n"/>
      <c r="E31" s="9" t="n"/>
      <c r="F31" s="9" t="n"/>
      <c r="G31" s="9" t="n"/>
      <c r="H31" s="9" t="n"/>
      <c r="I31" s="8" t="n"/>
      <c r="J31" s="5">
        <f>(D31-C31+F31-E31+H31-G31)*24</f>
        <v/>
      </c>
      <c r="K31" s="35" t="n"/>
    </row>
    <row r="32">
      <c r="A32" s="7">
        <f>IF(A31&gt;=$D$4,0,IF(A31=0,0,1+A31))</f>
        <v/>
      </c>
      <c r="B32" s="62">
        <f>IF(A32=0,0,MID("DOMSegTerQuaQuiSexSAB",3*WEEKDAY(A32)-2,3))</f>
        <v/>
      </c>
      <c r="C32" s="8" t="n"/>
      <c r="D32" s="8" t="n"/>
      <c r="E32" s="9" t="n"/>
      <c r="F32" s="9" t="n"/>
      <c r="G32" s="9" t="n"/>
      <c r="H32" s="9" t="n"/>
      <c r="I32" s="8" t="n"/>
      <c r="J32" s="5">
        <f>(D32-C32+F32-E32+H32-G32)*24</f>
        <v/>
      </c>
      <c r="K32" s="35" t="n"/>
    </row>
    <row r="33">
      <c r="A33" s="7">
        <f>IF(A32&gt;=$D$4,0,IF(A32=0,0,1+A32))</f>
        <v/>
      </c>
      <c r="B33" s="62">
        <f>IF(A33=0,0,MID("DOMSegTerQuaQuiSexSAB",3*WEEKDAY(A33)-2,3))</f>
        <v/>
      </c>
      <c r="C33" s="8" t="n"/>
      <c r="D33" s="8" t="n"/>
      <c r="E33" s="9" t="n"/>
      <c r="F33" s="9" t="n"/>
      <c r="G33" s="9" t="n"/>
      <c r="H33" s="9" t="n"/>
      <c r="I33" s="8" t="n"/>
      <c r="J33" s="5">
        <f>(D33-C33+F33-E33+H33-G33)*24</f>
        <v/>
      </c>
      <c r="K33" s="35" t="n"/>
    </row>
    <row r="34">
      <c r="A34" s="7">
        <f>IF(A33&gt;=$D$4,0,IF(A33=0,0,1+A33))</f>
        <v/>
      </c>
      <c r="B34" s="62">
        <f>IF(A34=0,0,MID("DOMSegTerQuaQuiSexSAB",3*WEEKDAY(A34)-2,3))</f>
        <v/>
      </c>
      <c r="C34" s="8" t="n"/>
      <c r="D34" s="8" t="n"/>
      <c r="E34" s="9" t="n"/>
      <c r="F34" s="9" t="n"/>
      <c r="G34" s="9" t="n"/>
      <c r="H34" s="9" t="n"/>
      <c r="I34" s="8" t="n"/>
      <c r="J34" s="5">
        <f>(D34-C34+F34-E34+H34-G34)*24</f>
        <v/>
      </c>
      <c r="K34" s="35" t="n"/>
    </row>
    <row r="35">
      <c r="A35" s="7">
        <f>IF(A34&gt;=$D$4,0,IF(A34=0,0,1+A34))</f>
        <v/>
      </c>
      <c r="B35" s="62">
        <f>IF(A35=0,0,MID("DOMSegTerQuaQuiSexSAB",3*WEEKDAY(A35)-2,3))</f>
        <v/>
      </c>
      <c r="C35" s="8" t="n"/>
      <c r="D35" s="8" t="n"/>
      <c r="E35" s="9" t="n"/>
      <c r="F35" s="9" t="n"/>
      <c r="G35" s="9" t="n"/>
      <c r="H35" s="9" t="n"/>
      <c r="I35" s="8" t="n"/>
      <c r="J35" s="5">
        <f>(D35-C35+F35-E35+H35-G35)*24</f>
        <v/>
      </c>
      <c r="K35" s="35" t="n"/>
    </row>
    <row r="36">
      <c r="A36" s="7">
        <f>IF(A35&gt;=$D$4,0,IF(A35=0,0,1+A35))</f>
        <v/>
      </c>
      <c r="B36" s="62">
        <f>IF(A36=0,0,MID("DOMSegTerQuaQuiSexSAB",3*WEEKDAY(A36)-2,3))</f>
        <v/>
      </c>
      <c r="C36" s="8" t="n"/>
      <c r="D36" s="8" t="n"/>
      <c r="E36" s="9" t="n"/>
      <c r="F36" s="9" t="n"/>
      <c r="G36" s="9" t="n"/>
      <c r="H36" s="9" t="n"/>
      <c r="I36" s="8" t="n"/>
      <c r="J36" s="5">
        <f>(D36-C36+F36-E36+H36-G36)*24</f>
        <v/>
      </c>
      <c r="K36" s="35" t="n"/>
    </row>
    <row r="37">
      <c r="A37" s="7">
        <f>IF(A36&gt;=$D$4,0,IF(A36=0,0,1+A36))</f>
        <v/>
      </c>
      <c r="B37" s="62">
        <f>IF(A37=0,0,MID("DOMSegTerQuaQuiSexSAB",3*WEEKDAY(A37)-2,3))</f>
        <v/>
      </c>
      <c r="C37" s="8" t="n"/>
      <c r="D37" s="8" t="n"/>
      <c r="E37" s="9" t="n"/>
      <c r="F37" s="9" t="n"/>
      <c r="G37" s="9" t="n"/>
      <c r="H37" s="9" t="n"/>
      <c r="I37" s="8" t="n"/>
      <c r="J37" s="5">
        <f>(D37-C37+F37-E37+H37-G37)*24</f>
        <v/>
      </c>
      <c r="K37" s="35" t="n"/>
    </row>
    <row r="38">
      <c r="A38" s="7">
        <f>IF(A37&gt;=$D$4,0,IF(A37=0,0,1+A37))</f>
        <v/>
      </c>
      <c r="B38" s="62">
        <f>IF(A38=0,0,MID("DOMSegTerQuaQuiSexSAB",3*WEEKDAY(A38)-2,3))</f>
        <v/>
      </c>
      <c r="C38" s="8" t="n"/>
      <c r="D38" s="8" t="n"/>
      <c r="E38" s="9" t="n"/>
      <c r="F38" s="9" t="n"/>
      <c r="G38" s="9" t="n"/>
      <c r="H38" s="9" t="n"/>
      <c r="I38" s="8" t="n"/>
      <c r="J38" s="5">
        <f>(D38-C38+F38-E38+H38-G38)*24</f>
        <v/>
      </c>
      <c r="K38" s="35" t="n"/>
    </row>
    <row r="39">
      <c r="A39" s="7">
        <f>IF(A38&gt;=$D$4,0,IF(A38=0,0,1+A38))</f>
        <v/>
      </c>
      <c r="B39" s="62">
        <f>IF(A39=0,0,MID("DOMSegTerQuaQuiSexSAB",3*WEEKDAY(A39)-2,3))</f>
        <v/>
      </c>
      <c r="C39" s="8" t="n"/>
      <c r="D39" s="8" t="n"/>
      <c r="E39" s="9" t="n"/>
      <c r="F39" s="9" t="n"/>
      <c r="G39" s="9" t="n"/>
      <c r="H39" s="9" t="n"/>
      <c r="I39" s="8" t="n"/>
      <c r="J39" s="5">
        <f>(D39-C39+F39-E39+H39-G39)*24</f>
        <v/>
      </c>
      <c r="K39" s="35" t="n"/>
    </row>
    <row r="40">
      <c r="A40" s="7">
        <f>IF(A39&gt;=$D$4,0,IF(A39=0,0,1+A39))</f>
        <v/>
      </c>
      <c r="B40" s="62">
        <f>IF(A40=0,0,MID("DOMSegTerQuaQuiSexSAB",3*WEEKDAY(A40)-2,3))</f>
        <v/>
      </c>
      <c r="C40" s="8" t="n"/>
      <c r="D40" s="8" t="n"/>
      <c r="E40" s="9" t="n"/>
      <c r="F40" s="9" t="n"/>
      <c r="G40" s="9" t="n"/>
      <c r="H40" s="9" t="n"/>
      <c r="I40" s="8" t="n"/>
      <c r="J40" s="5">
        <f>(D40-C40+F40-E40+H40-G40)*24</f>
        <v/>
      </c>
      <c r="K40" s="35" t="n"/>
    </row>
    <row r="41">
      <c r="A41" s="7">
        <f>IF(A40&gt;=$D$4,0,IF(A40=0,0,1+A40))</f>
        <v/>
      </c>
      <c r="B41" s="62">
        <f>IF(A41=0,0,MID("DOMSegTerQuaQuiSexSAB",3*WEEKDAY(A41)-2,3))</f>
        <v/>
      </c>
      <c r="C41" s="8" t="n"/>
      <c r="D41" s="8" t="n"/>
      <c r="E41" s="9" t="n"/>
      <c r="F41" s="9" t="n"/>
      <c r="G41" s="9" t="n"/>
      <c r="H41" s="9" t="n"/>
      <c r="I41" s="8" t="n"/>
      <c r="J41" s="5">
        <f>(D41-C41+F41-E41+H41-G41)*24</f>
        <v/>
      </c>
      <c r="K41" s="35" t="n"/>
    </row>
    <row r="42">
      <c r="A42" s="7">
        <f>IF(A41&gt;=$D$4,0,IF(A41=0,0,1+A41))</f>
        <v/>
      </c>
      <c r="B42" s="62">
        <f>IF(A42=0,0,MID("DOMSegTerQuaQuiSexSAB",3*WEEKDAY(A42)-2,3))</f>
        <v/>
      </c>
      <c r="C42" s="8" t="n"/>
      <c r="D42" s="8" t="n"/>
      <c r="E42" s="9" t="n"/>
      <c r="F42" s="9" t="n"/>
      <c r="G42" s="9" t="n"/>
      <c r="H42" s="9" t="n"/>
      <c r="I42" s="8" t="n"/>
      <c r="J42" s="5">
        <f>(D42-C42+F42-E42+H42-G42)*24</f>
        <v/>
      </c>
      <c r="K42" s="35" t="n"/>
    </row>
    <row r="43" ht="13" customHeight="1" thickBot="1">
      <c r="A43" s="7">
        <f>IF(A42&gt;=$D$4,0,IF(A42=0,0,1+A42))</f>
        <v/>
      </c>
      <c r="B43" s="62">
        <f>IF(A43=0,0,MID("DOMSegTerQuaQuiSexSAB",3*WEEKDAY(A43)-2,3))</f>
        <v/>
      </c>
      <c r="C43" s="8" t="n"/>
      <c r="D43" s="8" t="n"/>
      <c r="E43" s="8" t="n"/>
      <c r="F43" s="9" t="n"/>
      <c r="G43" s="9" t="n"/>
      <c r="H43" s="9" t="n"/>
      <c r="I43" s="8" t="n"/>
      <c r="J43" s="5">
        <f>(D43-C43+F43-E43+H43-G43)*24</f>
        <v/>
      </c>
      <c r="K43" s="35" t="n"/>
    </row>
    <row r="44" ht="15" customHeight="1" thickBot="1">
      <c r="C44" s="15" t="n"/>
      <c r="D44" s="15" t="n"/>
      <c r="E44" s="15" t="n"/>
      <c r="F44" s="15" t="n"/>
      <c r="G44" s="15" t="n"/>
      <c r="H44" s="15" t="n"/>
      <c r="I44" s="15" t="n"/>
      <c r="J44" s="18">
        <f>SUM(J$13:J$43)</f>
        <v/>
      </c>
    </row>
    <row r="45" ht="13.25" customHeight="1">
      <c r="C45" s="15" t="n"/>
      <c r="D45" s="15" t="n"/>
      <c r="E45" s="15" t="n"/>
      <c r="F45" s="15" t="n"/>
      <c r="G45" s="15" t="n"/>
      <c r="H45" s="15" t="n"/>
      <c r="I45" s="15" t="n"/>
    </row>
  </sheetData>
  <mergeCells count="7">
    <mergeCell ref="C4:C5"/>
    <mergeCell ref="D5:E5"/>
    <mergeCell ref="H5:I5"/>
    <mergeCell ref="D4:E4"/>
    <mergeCell ref="H4:I4"/>
    <mergeCell ref="A1:K2"/>
    <mergeCell ref="A12:B12"/>
  </mergeCells>
  <conditionalFormatting sqref="B13:B43">
    <cfRule type="containsText" priority="1" operator="containsText" dxfId="2" text="DOM">
      <formula>NOT(ISERROR(SEARCH("DOM",B13)))</formula>
    </cfRule>
    <cfRule type="containsText" priority="2" operator="containsText" dxfId="2" text="SAB">
      <formula>NOT(ISERROR(SEARCH("SAB",B13)))</formula>
    </cfRule>
  </conditionalFormatting>
  <conditionalFormatting sqref="G13:I43">
    <cfRule type="expression" priority="7" dxfId="0" stopIfTrue="1">
      <formula>AND(#REF!=0,0=#REF!)</formula>
    </cfRule>
  </conditionalFormatting>
  <conditionalFormatting sqref="K13:K43">
    <cfRule type="expression" priority="3" dxfId="0" stopIfTrue="1">
      <formula>AND(#REF!=0,0=#REF!)</formula>
    </cfRule>
  </conditionalFormatting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D5" sqref="D5:E5"/>
    </sheetView>
  </sheetViews>
  <sheetFormatPr baseColWidth="10" defaultColWidth="9.796875" defaultRowHeight="11.25" customHeight="1"/>
  <cols>
    <col width="9.796875" customWidth="1" style="4" min="1" max="9"/>
    <col width="12.19921875" customWidth="1" style="2" min="10" max="10"/>
    <col width="21" customWidth="1" style="4" min="11" max="11"/>
    <col width="9.796875" customWidth="1" style="4" min="12" max="16384"/>
  </cols>
  <sheetData>
    <row r="1" ht="12" customHeight="1">
      <c r="A1" s="75" t="inlineStr">
        <is>
          <t>HORAS DE SERVIÇO</t>
        </is>
      </c>
    </row>
    <row r="2" ht="11.25" customHeight="1"/>
    <row r="3" ht="12" customHeight="1"/>
    <row r="4" ht="13.5" customHeight="1">
      <c r="A4" s="1" t="inlineStr">
        <is>
          <t>Período:</t>
        </is>
      </c>
      <c r="B4" s="89" t="n">
        <v>45901</v>
      </c>
      <c r="C4" s="72" t="inlineStr">
        <is>
          <t>a</t>
        </is>
      </c>
      <c r="D4" s="90" t="n">
        <v>45930</v>
      </c>
      <c r="E4" s="91" t="n"/>
      <c r="H4" s="32" t="inlineStr">
        <is>
          <t>Total de horas úteis</t>
        </is>
      </c>
      <c r="I4" s="92" t="n"/>
      <c r="J4" s="32" t="inlineStr">
        <is>
          <t>Saldo</t>
        </is>
      </c>
    </row>
    <row r="5" ht="13.5" customHeight="1">
      <c r="B5" s="93">
        <f>B4</f>
        <v/>
      </c>
      <c r="C5" s="94" t="n"/>
      <c r="D5" s="95">
        <f>D4</f>
        <v/>
      </c>
      <c r="E5" s="96" t="n"/>
      <c r="H5" s="97">
        <f>21*8</f>
        <v/>
      </c>
      <c r="I5" s="92" t="n"/>
      <c r="J5" s="31">
        <f>J43-H5</f>
        <v/>
      </c>
    </row>
    <row r="6" ht="12" customHeight="1">
      <c r="C6" s="6" t="n"/>
      <c r="E6" s="6" t="n"/>
      <c r="H6" s="28" t="n"/>
      <c r="I6" s="29" t="n"/>
      <c r="J6" s="29" t="n"/>
      <c r="K6" s="30" t="n"/>
    </row>
    <row r="7" ht="12" customHeight="1">
      <c r="C7" s="6" t="n"/>
      <c r="E7" s="6" t="n"/>
      <c r="G7" s="25" t="n"/>
      <c r="H7" s="2" t="n"/>
      <c r="I7" s="2" t="n"/>
      <c r="J7" s="26" t="n"/>
    </row>
    <row r="8" ht="18.75" customHeight="1">
      <c r="A8" s="27" t="inlineStr">
        <is>
          <t xml:space="preserve">Nome:  </t>
        </is>
      </c>
      <c r="B8" s="38">
        <f>'Agosto - 2025'!B8</f>
        <v/>
      </c>
      <c r="C8" s="39" t="n"/>
      <c r="D8" s="39" t="n"/>
      <c r="E8" s="39" t="n"/>
      <c r="F8" s="40" t="n"/>
      <c r="G8" s="3" t="n"/>
      <c r="H8" s="3" t="n"/>
      <c r="I8" s="3" t="n"/>
      <c r="J8" s="3" t="n"/>
    </row>
    <row r="9" ht="16.5" customHeight="1">
      <c r="A9" s="27" t="inlineStr">
        <is>
          <t xml:space="preserve">Projeto: </t>
        </is>
      </c>
      <c r="B9" s="57">
        <f>'Agosto - 2025'!B9</f>
        <v/>
      </c>
      <c r="C9" s="58" t="n"/>
      <c r="D9" s="58" t="n"/>
      <c r="E9" s="58" t="n"/>
      <c r="F9" s="59" t="n"/>
      <c r="G9" s="3" t="n"/>
      <c r="H9" s="3" t="n"/>
      <c r="I9" s="3" t="n"/>
      <c r="J9" s="3" t="n"/>
    </row>
    <row r="10" ht="12" customHeight="1">
      <c r="A10" s="1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4" t="n"/>
    </row>
    <row r="11" ht="15" customHeight="1"/>
    <row r="12" ht="18.75" customHeight="1">
      <c r="A12" s="71" t="inlineStr">
        <is>
          <t>Dia</t>
        </is>
      </c>
      <c r="B12" s="98" t="n"/>
      <c r="C12" s="71" t="inlineStr">
        <is>
          <t>Entr.</t>
        </is>
      </c>
      <c r="D12" s="21" t="inlineStr">
        <is>
          <t>Saída</t>
        </is>
      </c>
      <c r="E12" s="22" t="inlineStr">
        <is>
          <t>Entr.</t>
        </is>
      </c>
      <c r="F12" s="23" t="inlineStr">
        <is>
          <t>Saída</t>
        </is>
      </c>
      <c r="G12" s="71" t="inlineStr">
        <is>
          <t>Entr.</t>
        </is>
      </c>
      <c r="H12" s="21" t="inlineStr">
        <is>
          <t>Saída</t>
        </is>
      </c>
      <c r="I12" s="70" t="n"/>
      <c r="J12" s="24" t="inlineStr">
        <is>
          <t>Geral</t>
        </is>
      </c>
      <c r="K12" s="24" t="inlineStr">
        <is>
          <t>Observações</t>
        </is>
      </c>
    </row>
    <row r="13" ht="12" customHeight="1">
      <c r="A13" s="20">
        <f>B4</f>
        <v/>
      </c>
      <c r="B13" s="61">
        <f>IF(A13=0,0,MID("DOMSegTerQuaQuiSexSAB",3*WEEKDAY(A13)-2,3))</f>
        <v/>
      </c>
      <c r="C13" s="8" t="n"/>
      <c r="D13" s="8" t="n"/>
      <c r="E13" s="9" t="n"/>
      <c r="F13" s="9" t="n"/>
      <c r="G13" s="9" t="n"/>
      <c r="H13" s="9" t="n"/>
      <c r="I13" s="8" t="n"/>
      <c r="J13" s="5">
        <f>(D13-C13+F13-E13+H13-G13)*24</f>
        <v/>
      </c>
      <c r="K13" s="35" t="n"/>
    </row>
    <row r="14" ht="12" customHeight="1">
      <c r="A14" s="7">
        <f>IF(A13&gt;=$D$4,0,IF(A13=0,0,1+A13))</f>
        <v/>
      </c>
      <c r="B14" s="62">
        <f>IF(A14=0,0,MID("DOMSegTerQuaQuiSexSAB",3*WEEKDAY(A14)-2,3))</f>
        <v/>
      </c>
      <c r="C14" s="8" t="n"/>
      <c r="D14" s="8" t="n"/>
      <c r="E14" s="9" t="n"/>
      <c r="F14" s="9" t="n"/>
      <c r="G14" s="9" t="n"/>
      <c r="H14" s="9" t="n"/>
      <c r="I14" s="8" t="n"/>
      <c r="J14" s="5">
        <f>(D14-C14+F14-E14+H14-G14)*24</f>
        <v/>
      </c>
      <c r="K14" s="35" t="n"/>
    </row>
    <row r="15" ht="12" customHeight="1">
      <c r="A15" s="7">
        <f>IF(A14&gt;=$D$4,0,IF(A14=0,0,1+A14))</f>
        <v/>
      </c>
      <c r="B15" s="62">
        <f>IF(A15=0,0,MID("DOMSegTerQuaQuiSexSAB",3*WEEKDAY(A15)-2,3))</f>
        <v/>
      </c>
      <c r="C15" s="8" t="n"/>
      <c r="D15" s="8" t="n"/>
      <c r="E15" s="9" t="n"/>
      <c r="F15" s="9" t="n"/>
      <c r="G15" s="9" t="n"/>
      <c r="H15" s="9" t="n"/>
      <c r="I15" s="8" t="n"/>
      <c r="J15" s="5">
        <f>(D15-C15+F15-E15+H15-G15)*24</f>
        <v/>
      </c>
      <c r="K15" s="35" t="n"/>
    </row>
    <row r="16" ht="12" customHeight="1">
      <c r="A16" s="7">
        <f>IF(A15&gt;=$D$4,0,IF(A15=0,0,1+A15))</f>
        <v/>
      </c>
      <c r="B16" s="62">
        <f>IF(A16=0,0,MID("DOMSegTerQuaQuiSexSAB",3*WEEKDAY(A16)-2,3))</f>
        <v/>
      </c>
      <c r="C16" s="8" t="n"/>
      <c r="D16" s="8" t="n"/>
      <c r="E16" s="9" t="n"/>
      <c r="F16" s="9" t="n"/>
      <c r="G16" s="9" t="n"/>
      <c r="H16" s="9" t="n"/>
      <c r="I16" s="8" t="n"/>
      <c r="J16" s="5">
        <f>(D16-C16+F16-E16+H16-G16)*24</f>
        <v/>
      </c>
      <c r="K16" s="35" t="n"/>
    </row>
    <row r="17" ht="12" customHeight="1">
      <c r="A17" s="7">
        <f>IF(A16&gt;=$D$4,0,IF(A16=0,0,1+A16))</f>
        <v/>
      </c>
      <c r="B17" s="62">
        <f>IF(A17=0,0,MID("DOMSegTerQuaQuiSexSAB",3*WEEKDAY(A17)-2,3))</f>
        <v/>
      </c>
      <c r="C17" s="8" t="n"/>
      <c r="D17" s="8" t="n"/>
      <c r="E17" s="9" t="n"/>
      <c r="F17" s="9" t="n"/>
      <c r="G17" s="9" t="n"/>
      <c r="H17" s="9" t="n"/>
      <c r="I17" s="8" t="n"/>
      <c r="J17" s="5">
        <f>(D17-C17+F17-E17+H17-G17)*24</f>
        <v/>
      </c>
      <c r="K17" s="35" t="n"/>
    </row>
    <row r="18" ht="12" customHeight="1">
      <c r="A18" s="7">
        <f>IF(A17&gt;=$D$4,0,IF(A17=0,0,1+A17))</f>
        <v/>
      </c>
      <c r="B18" s="62">
        <f>IF(A18=0,0,MID("DOMSegTerQuaQuiSexSAB",3*WEEKDAY(A18)-2,3))</f>
        <v/>
      </c>
      <c r="C18" s="8" t="n"/>
      <c r="D18" s="8" t="n"/>
      <c r="E18" s="9" t="n"/>
      <c r="F18" s="9" t="n"/>
      <c r="G18" s="9" t="n"/>
      <c r="H18" s="9" t="n"/>
      <c r="I18" s="8" t="n"/>
      <c r="J18" s="5">
        <f>(D18-C18+F18-E18+H18-G18)*24</f>
        <v/>
      </c>
      <c r="K18" s="35" t="n"/>
    </row>
    <row r="19" ht="12" customHeight="1">
      <c r="A19" s="7">
        <f>IF(A18&gt;=$D$4,0,IF(A18=0,0,1+A18))</f>
        <v/>
      </c>
      <c r="B19" s="62">
        <f>IF(A19=0,0,MID("DOMSegTerQuaQuiSexSAB",3*WEEKDAY(A19)-2,3))</f>
        <v/>
      </c>
      <c r="C19" s="11" t="n"/>
      <c r="D19" s="11" t="n"/>
      <c r="E19" s="12" t="n"/>
      <c r="F19" s="12" t="n"/>
      <c r="G19" s="12" t="n"/>
      <c r="H19" s="12" t="n"/>
      <c r="I19" s="11" t="n"/>
      <c r="J19" s="5">
        <f>(D19-C19+F19-E19+H19-G19)*24</f>
        <v/>
      </c>
      <c r="K19" s="36" t="n"/>
    </row>
    <row r="20" ht="12" customHeight="1">
      <c r="A20" s="7">
        <f>IF(A19&gt;=$D$4,0,IF(A19=0,0,1+A19))</f>
        <v/>
      </c>
      <c r="B20" s="62">
        <f>IF(A20=0,0,MID("DOMSegTerQuaQuiSexSAB",3*WEEKDAY(A20)-2,3))</f>
        <v/>
      </c>
      <c r="C20" s="8" t="n"/>
      <c r="D20" s="8" t="n"/>
      <c r="E20" s="9" t="n"/>
      <c r="F20" s="9" t="n"/>
      <c r="G20" s="9" t="n"/>
      <c r="H20" s="9" t="n"/>
      <c r="I20" s="8" t="n"/>
      <c r="J20" s="5">
        <f>(D20-C20+F20-E20+H20-G20)*24</f>
        <v/>
      </c>
      <c r="K20" s="35" t="n"/>
    </row>
    <row r="21" ht="12" customHeight="1">
      <c r="A21" s="7">
        <f>IF(A20&gt;=$D$4,0,IF(A20=0,0,1+A20))</f>
        <v/>
      </c>
      <c r="B21" s="62">
        <f>IF(A21=0,0,MID("DOMSegTerQuaQuiSexSAB",3*WEEKDAY(A21)-2,3))</f>
        <v/>
      </c>
      <c r="C21" s="8" t="n"/>
      <c r="D21" s="8" t="n"/>
      <c r="E21" s="9" t="n"/>
      <c r="F21" s="9" t="n"/>
      <c r="G21" s="9" t="n"/>
      <c r="H21" s="9" t="n"/>
      <c r="I21" s="8" t="n"/>
      <c r="J21" s="5">
        <f>(D21-C21+F21-E21+H21-G21)*24</f>
        <v/>
      </c>
      <c r="K21" s="35" t="n"/>
    </row>
    <row r="22" ht="12" customHeight="1">
      <c r="A22" s="7">
        <f>IF(A21&gt;=$D$4,0,IF(A21=0,0,1+A21))</f>
        <v/>
      </c>
      <c r="B22" s="62">
        <f>IF(A22=0,0,MID("DOMSegTerQuaQuiSexSAB",3*WEEKDAY(A22)-2,3))</f>
        <v/>
      </c>
      <c r="C22" s="8" t="n"/>
      <c r="D22" s="8" t="n"/>
      <c r="E22" s="9" t="n"/>
      <c r="F22" s="9" t="n"/>
      <c r="G22" s="9" t="n"/>
      <c r="H22" s="9" t="n"/>
      <c r="I22" s="8" t="n"/>
      <c r="J22" s="5">
        <f>(D22-C22+F22-E22+H22-G22)*24</f>
        <v/>
      </c>
      <c r="K22" s="35" t="n"/>
    </row>
    <row r="23" ht="12" customHeight="1">
      <c r="A23" s="7">
        <f>IF(A22&gt;=$D$4,0,IF(A22=0,0,1+A22))</f>
        <v/>
      </c>
      <c r="B23" s="62">
        <f>IF(A23=0,0,MID("DOMSegTerQuaQuiSexSAB",3*WEEKDAY(A23)-2,3))</f>
        <v/>
      </c>
      <c r="C23" s="8" t="n"/>
      <c r="D23" s="8" t="n"/>
      <c r="E23" s="9" t="n"/>
      <c r="F23" s="9" t="n"/>
      <c r="G23" s="9" t="n"/>
      <c r="H23" s="9" t="n"/>
      <c r="I23" s="8" t="n"/>
      <c r="J23" s="5">
        <f>(D23-C23+F23-E23+H23-G23)*24</f>
        <v/>
      </c>
      <c r="K23" s="35" t="n"/>
    </row>
    <row r="24" ht="12" customHeight="1">
      <c r="A24" s="13">
        <f>IF(A23&gt;=$D$4,0,IF(A23=0,0,1+A23))</f>
        <v/>
      </c>
      <c r="B24" s="63">
        <f>IF(A24=0,0,MID("DOMSegTerQuaQuiSexSAB",3*WEEKDAY(A24)-2,3))</f>
        <v/>
      </c>
      <c r="C24" s="8" t="n"/>
      <c r="D24" s="8" t="n"/>
      <c r="E24" s="9" t="n"/>
      <c r="F24" s="9" t="n"/>
      <c r="G24" s="9" t="n"/>
      <c r="H24" s="9" t="n"/>
      <c r="I24" s="8" t="n"/>
      <c r="J24" s="5">
        <f>(D24-C24+F24-E24+H24-G24)*24</f>
        <v/>
      </c>
      <c r="K24" s="35" t="n"/>
    </row>
    <row r="25" ht="12" customHeight="1">
      <c r="A25" s="13">
        <f>IF(A24&gt;=$D$4,0,IF(A24=0,0,1+A24))</f>
        <v/>
      </c>
      <c r="B25" s="63">
        <f>IF(A25=0,0,MID("DOMSegTerQuaQuiSexSAB",3*WEEKDAY(A25)-2,3))</f>
        <v/>
      </c>
      <c r="C25" s="8" t="n"/>
      <c r="D25" s="8" t="n"/>
      <c r="E25" s="9" t="n"/>
      <c r="F25" s="9" t="n"/>
      <c r="G25" s="9" t="n"/>
      <c r="H25" s="9" t="n"/>
      <c r="I25" s="8" t="n"/>
      <c r="J25" s="5">
        <f>(D25-C25+F25-E25+H25-G25)*24</f>
        <v/>
      </c>
      <c r="K25" s="35" t="n"/>
    </row>
    <row r="26" ht="12" customHeight="1">
      <c r="A26" s="7">
        <f>IF(A25&gt;=$D$4,0,IF(A25=0,0,1+A25))</f>
        <v/>
      </c>
      <c r="B26" s="62">
        <f>IF(A26=0,0,MID("DOMSegTerQuaQuiSexSAB",3*WEEKDAY(A26)-2,3))</f>
        <v/>
      </c>
      <c r="C26" s="8" t="n"/>
      <c r="D26" s="8" t="n"/>
      <c r="E26" s="9" t="n"/>
      <c r="F26" s="9" t="n"/>
      <c r="G26" s="9" t="n"/>
      <c r="H26" s="9" t="n"/>
      <c r="I26" s="8" t="n"/>
      <c r="J26" s="5">
        <f>(D26-C26+F26-E26+H26-G26)*24</f>
        <v/>
      </c>
      <c r="K26" s="35" t="n"/>
    </row>
    <row r="27" ht="12" customHeight="1">
      <c r="A27" s="7">
        <f>IF(A26&gt;=$D$4,0,IF(A26=0,0,1+A26))</f>
        <v/>
      </c>
      <c r="B27" s="62">
        <f>IF(A27=0,0,MID("DOMSegTerQuaQuiSexSAB",3*WEEKDAY(A27)-2,3))</f>
        <v/>
      </c>
      <c r="C27" s="8" t="n"/>
      <c r="D27" s="8" t="n"/>
      <c r="E27" s="9" t="n"/>
      <c r="F27" s="9" t="n"/>
      <c r="G27" s="14" t="n"/>
      <c r="H27" s="9" t="n"/>
      <c r="I27" s="8" t="n"/>
      <c r="J27" s="5">
        <f>(D27-C27+F27-E27+H27-G27)*24</f>
        <v/>
      </c>
      <c r="K27" s="37" t="n"/>
    </row>
    <row r="28" ht="12" customHeight="1">
      <c r="A28" s="7">
        <f>IF(A27&gt;=$D$4,0,IF(A27=0,0,1+A27))</f>
        <v/>
      </c>
      <c r="B28" s="62">
        <f>IF(A28=0,0,MID("DOMSegTerQuaQuiSexSAB",3*WEEKDAY(A28)-2,3))</f>
        <v/>
      </c>
      <c r="C28" s="8" t="n"/>
      <c r="D28" s="8" t="n"/>
      <c r="E28" s="9" t="n"/>
      <c r="F28" s="9" t="n"/>
      <c r="G28" s="9" t="n"/>
      <c r="H28" s="9" t="n"/>
      <c r="I28" s="8" t="n"/>
      <c r="J28" s="5">
        <f>(D28-C28+F28-E28+H28-G28)*24</f>
        <v/>
      </c>
      <c r="K28" s="35" t="n"/>
    </row>
    <row r="29" ht="12" customHeight="1">
      <c r="A29" s="7">
        <f>IF(A28&gt;=$D$4,0,IF(A28=0,0,1+A28))</f>
        <v/>
      </c>
      <c r="B29" s="62">
        <f>IF(A29=0,0,MID("DOMSegTerQuaQuiSexSAB",3*WEEKDAY(A29)-2,3))</f>
        <v/>
      </c>
      <c r="C29" s="8" t="n"/>
      <c r="D29" s="8" t="n"/>
      <c r="E29" s="9" t="n"/>
      <c r="F29" s="9" t="n"/>
      <c r="G29" s="9" t="n"/>
      <c r="H29" s="9" t="n"/>
      <c r="I29" s="8" t="n"/>
      <c r="J29" s="5">
        <f>(D29-C29+F29-E29+H29-G29)*24</f>
        <v/>
      </c>
      <c r="K29" s="35" t="n"/>
    </row>
    <row r="30" ht="12" customHeight="1">
      <c r="A30" s="7">
        <f>IF(A29&gt;=$D$4,0,IF(A29=0,0,1+A29))</f>
        <v/>
      </c>
      <c r="B30" s="62">
        <f>IF(A30=0,0,MID("DOMSegTerQuaQuiSexSAB",3*WEEKDAY(A30)-2,3))</f>
        <v/>
      </c>
      <c r="C30" s="8" t="n"/>
      <c r="D30" s="8" t="n"/>
      <c r="E30" s="9" t="n"/>
      <c r="F30" s="9" t="n"/>
      <c r="G30" s="9" t="n"/>
      <c r="H30" s="9" t="n"/>
      <c r="I30" s="8" t="n"/>
      <c r="J30" s="5">
        <f>(D30-C30+F30-E30+H30-G30)*24</f>
        <v/>
      </c>
      <c r="K30" s="35" t="n"/>
    </row>
    <row r="31" ht="12" customHeight="1">
      <c r="A31" s="7">
        <f>IF(A30&gt;=$D$4,0,IF(A30=0,0,1+A30))</f>
        <v/>
      </c>
      <c r="B31" s="62">
        <f>IF(A31=0,0,MID("DOMSegTerQuaQuiSexSAB",3*WEEKDAY(A31)-2,3))</f>
        <v/>
      </c>
      <c r="C31" s="8" t="n"/>
      <c r="D31" s="8" t="n"/>
      <c r="E31" s="9" t="n"/>
      <c r="F31" s="9" t="n"/>
      <c r="G31" s="9" t="n"/>
      <c r="H31" s="9" t="n"/>
      <c r="I31" s="8" t="n"/>
      <c r="J31" s="5">
        <f>(D31-C31+F31-E31+H31-G31)*24</f>
        <v/>
      </c>
      <c r="K31" s="35" t="n"/>
    </row>
    <row r="32" ht="12" customHeight="1">
      <c r="A32" s="7">
        <f>IF(A31&gt;=$D$4,0,IF(A31=0,0,1+A31))</f>
        <v/>
      </c>
      <c r="B32" s="62">
        <f>IF(A32=0,0,MID("DOMSegTerQuaQuiSexSAB",3*WEEKDAY(A32)-2,3))</f>
        <v/>
      </c>
      <c r="C32" s="8" t="n"/>
      <c r="D32" s="8" t="n"/>
      <c r="E32" s="9" t="n"/>
      <c r="F32" s="9" t="n"/>
      <c r="G32" s="9" t="n"/>
      <c r="H32" s="9" t="n"/>
      <c r="I32" s="8" t="n"/>
      <c r="J32" s="5">
        <f>(D32-C32+F32-E32+H32-G32)*24</f>
        <v/>
      </c>
      <c r="K32" s="35" t="n"/>
    </row>
    <row r="33" ht="12" customHeight="1">
      <c r="A33" s="7">
        <f>IF(A32&gt;=$D$4,0,IF(A32=0,0,1+A32))</f>
        <v/>
      </c>
      <c r="B33" s="62">
        <f>IF(A33=0,0,MID("DOMSegTerQuaQuiSexSAB",3*WEEKDAY(A33)-2,3))</f>
        <v/>
      </c>
      <c r="C33" s="8" t="n"/>
      <c r="D33" s="8" t="n"/>
      <c r="E33" s="9" t="n"/>
      <c r="F33" s="9" t="n"/>
      <c r="G33" s="9" t="n"/>
      <c r="H33" s="9" t="n"/>
      <c r="I33" s="8" t="n"/>
      <c r="J33" s="5">
        <f>(D33-C33+F33-E33+H33-G33)*24</f>
        <v/>
      </c>
      <c r="K33" s="35" t="n"/>
    </row>
    <row r="34" ht="12" customHeight="1">
      <c r="A34" s="7">
        <f>IF(A33&gt;=$D$4,0,IF(A33=0,0,1+A33))</f>
        <v/>
      </c>
      <c r="B34" s="62">
        <f>IF(A34=0,0,MID("DOMSegTerQuaQuiSexSAB",3*WEEKDAY(A34)-2,3))</f>
        <v/>
      </c>
      <c r="C34" s="8" t="n"/>
      <c r="D34" s="8" t="n"/>
      <c r="E34" s="9" t="n"/>
      <c r="F34" s="9" t="n"/>
      <c r="G34" s="9" t="n"/>
      <c r="H34" s="9" t="n"/>
      <c r="I34" s="8" t="n"/>
      <c r="J34" s="5">
        <f>(D34-C34+F34-E34+H34-G34)*24</f>
        <v/>
      </c>
      <c r="K34" s="35" t="n"/>
    </row>
    <row r="35" ht="12" customHeight="1">
      <c r="A35" s="7">
        <f>IF(A34&gt;=$D$4,0,IF(A34=0,0,1+A34))</f>
        <v/>
      </c>
      <c r="B35" s="62">
        <f>IF(A35=0,0,MID("DOMSegTerQuaQuiSexSAB",3*WEEKDAY(A35)-2,3))</f>
        <v/>
      </c>
      <c r="C35" s="8" t="n"/>
      <c r="D35" s="8" t="n"/>
      <c r="E35" s="9" t="n"/>
      <c r="F35" s="9" t="n"/>
      <c r="G35" s="9" t="n"/>
      <c r="H35" s="9" t="n"/>
      <c r="I35" s="8" t="n"/>
      <c r="J35" s="5">
        <f>(D35-C35+F35-E35+H35-G35)*24</f>
        <v/>
      </c>
      <c r="K35" s="35" t="n"/>
    </row>
    <row r="36" ht="12" customHeight="1">
      <c r="A36" s="7">
        <f>IF(A35&gt;=$D$4,0,IF(A35=0,0,1+A35))</f>
        <v/>
      </c>
      <c r="B36" s="62">
        <f>IF(A36=0,0,MID("DOMSegTerQuaQuiSexSAB",3*WEEKDAY(A36)-2,3))</f>
        <v/>
      </c>
      <c r="C36" s="8" t="n"/>
      <c r="D36" s="8" t="n"/>
      <c r="E36" s="9" t="n"/>
      <c r="F36" s="9" t="n"/>
      <c r="G36" s="9" t="n"/>
      <c r="H36" s="9" t="n"/>
      <c r="I36" s="8" t="n"/>
      <c r="J36" s="5">
        <f>(D36-C36+F36-E36+H36-G36)*24</f>
        <v/>
      </c>
      <c r="K36" s="35" t="n"/>
    </row>
    <row r="37" ht="12" customHeight="1">
      <c r="A37" s="7">
        <f>IF(A36&gt;=$D$4,0,IF(A36=0,0,1+A36))</f>
        <v/>
      </c>
      <c r="B37" s="62">
        <f>IF(A37=0,0,MID("DOMSegTerQuaQuiSexSAB",3*WEEKDAY(A37)-2,3))</f>
        <v/>
      </c>
      <c r="C37" s="8" t="n"/>
      <c r="D37" s="8" t="n"/>
      <c r="E37" s="9" t="n"/>
      <c r="F37" s="9" t="n"/>
      <c r="G37" s="9" t="n"/>
      <c r="H37" s="9" t="n"/>
      <c r="I37" s="8" t="n"/>
      <c r="J37" s="5">
        <f>(D37-C37+F37-E37+H37-G37)*24</f>
        <v/>
      </c>
      <c r="K37" s="35" t="n"/>
    </row>
    <row r="38" ht="12" customHeight="1">
      <c r="A38" s="7">
        <f>IF(A37&gt;=$D$4,0,IF(A37=0,0,1+A37))</f>
        <v/>
      </c>
      <c r="B38" s="62">
        <f>IF(A38=0,0,MID("DOMSegTerQuaQuiSexSAB",3*WEEKDAY(A38)-2,3))</f>
        <v/>
      </c>
      <c r="C38" s="8" t="n"/>
      <c r="D38" s="8" t="n"/>
      <c r="E38" s="9" t="n"/>
      <c r="F38" s="9" t="n"/>
      <c r="G38" s="9" t="n"/>
      <c r="H38" s="9" t="n"/>
      <c r="I38" s="8" t="n"/>
      <c r="J38" s="5">
        <f>(D38-C38+F38-E38+H38-G38)*24</f>
        <v/>
      </c>
      <c r="K38" s="35" t="n"/>
    </row>
    <row r="39" ht="12" customHeight="1">
      <c r="A39" s="7">
        <f>IF(A38&gt;=$D$4,0,IF(A38=0,0,1+A38))</f>
        <v/>
      </c>
      <c r="B39" s="62">
        <f>IF(A39=0,0,MID("DOMSegTerQuaQuiSexSAB",3*WEEKDAY(A39)-2,3))</f>
        <v/>
      </c>
      <c r="C39" s="8" t="n"/>
      <c r="D39" s="8" t="n"/>
      <c r="E39" s="9" t="n"/>
      <c r="F39" s="9" t="n"/>
      <c r="G39" s="9" t="n"/>
      <c r="H39" s="9" t="n"/>
      <c r="I39" s="8" t="n"/>
      <c r="J39" s="5">
        <f>(D39-C39+F39-E39+H39-G39)*24</f>
        <v/>
      </c>
      <c r="K39" s="35" t="n"/>
    </row>
    <row r="40" ht="12" customHeight="1">
      <c r="A40" s="7">
        <f>IF(A39&gt;=$D$4,0,IF(A39=0,0,1+A39))</f>
        <v/>
      </c>
      <c r="B40" s="62">
        <f>IF(A40=0,0,MID("DOMSegTerQuaQuiSexSAB",3*WEEKDAY(A40)-2,3))</f>
        <v/>
      </c>
      <c r="C40" s="8" t="n"/>
      <c r="D40" s="8" t="n"/>
      <c r="E40" s="9" t="n"/>
      <c r="F40" s="9" t="n"/>
      <c r="G40" s="9" t="n"/>
      <c r="H40" s="9" t="n"/>
      <c r="I40" s="8" t="n"/>
      <c r="J40" s="5">
        <f>(D40-C40+F40-E40+H40-G40)*24</f>
        <v/>
      </c>
      <c r="K40" s="35" t="n"/>
    </row>
    <row r="41" ht="12" customHeight="1">
      <c r="A41" s="7">
        <f>IF(A40&gt;=$D$4,0,IF(A40=0,0,1+A40))</f>
        <v/>
      </c>
      <c r="B41" s="62">
        <f>IF(A41=0,0,MID("DOMSegTerQuaQuiSexSAB",3*WEEKDAY(A41)-2,3))</f>
        <v/>
      </c>
      <c r="C41" s="8" t="n"/>
      <c r="D41" s="8" t="n"/>
      <c r="E41" s="9" t="n"/>
      <c r="F41" s="9" t="n"/>
      <c r="G41" s="9" t="n"/>
      <c r="H41" s="9" t="n"/>
      <c r="I41" s="8" t="n"/>
      <c r="J41" s="5">
        <f>(D41-C41+F41-E41+H41-G41)*24</f>
        <v/>
      </c>
      <c r="K41" s="35" t="n"/>
    </row>
    <row r="42" ht="12" customHeight="1">
      <c r="A42" s="7">
        <f>IF(A41&gt;=$D$4,0,IF(A41=0,0,1+A41))</f>
        <v/>
      </c>
      <c r="B42" s="62">
        <f>IF(A42=0,0,MID("DOMSegTerQuaQuiSexSAB",3*WEEKDAY(A42)-2,3))</f>
        <v/>
      </c>
      <c r="C42" s="8" t="n"/>
      <c r="D42" s="8" t="n"/>
      <c r="E42" s="9" t="n"/>
      <c r="F42" s="9" t="n"/>
      <c r="G42" s="9" t="n"/>
      <c r="H42" s="9" t="n"/>
      <c r="I42" s="8" t="n"/>
      <c r="J42" s="5">
        <f>(D42-C42+F42-E42+H42-G42)*24</f>
        <v/>
      </c>
      <c r="K42" s="35" t="n"/>
    </row>
    <row r="43" ht="15" customHeight="1">
      <c r="C43" s="15" t="n"/>
      <c r="D43" s="15" t="n"/>
      <c r="E43" s="15" t="n"/>
      <c r="F43" s="15" t="n"/>
      <c r="G43" s="15" t="n"/>
      <c r="H43" s="15" t="n"/>
      <c r="I43" s="15" t="n"/>
      <c r="J43" s="18">
        <f>SUM(J$13:J$42)</f>
        <v/>
      </c>
    </row>
    <row r="44" ht="13.25" customHeight="1">
      <c r="C44" s="15" t="n"/>
      <c r="D44" s="15" t="n"/>
      <c r="E44" s="15" t="n"/>
      <c r="F44" s="15" t="n"/>
      <c r="G44" s="15" t="n"/>
      <c r="H44" s="15" t="n"/>
      <c r="I44" s="15" t="n"/>
    </row>
  </sheetData>
  <mergeCells count="7">
    <mergeCell ref="C4:C5"/>
    <mergeCell ref="D5:E5"/>
    <mergeCell ref="H5:I5"/>
    <mergeCell ref="D4:E4"/>
    <mergeCell ref="H4:I4"/>
    <mergeCell ref="A1:K2"/>
    <mergeCell ref="A12:B12"/>
  </mergeCells>
  <conditionalFormatting sqref="B13:B42">
    <cfRule type="containsText" priority="1" operator="containsText" dxfId="2" text="DOM">
      <formula>NOT(ISERROR(SEARCH("DOM",B13)))</formula>
    </cfRule>
    <cfRule type="containsText" priority="2" operator="containsText" dxfId="2" text="SAB">
      <formula>NOT(ISERROR(SEARCH("SAB",B13)))</formula>
    </cfRule>
  </conditionalFormatting>
  <conditionalFormatting sqref="G13:I42">
    <cfRule type="expression" priority="7" dxfId="0" stopIfTrue="1">
      <formula>AND(#REF!=0,0=#REF!)</formula>
    </cfRule>
  </conditionalFormatting>
  <conditionalFormatting sqref="K13:K42">
    <cfRule type="expression" priority="3" dxfId="0" stopIfTrue="1">
      <formula>AND(#REF!=0,0=#REF!)</formula>
    </cfRule>
  </conditionalFormatting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D5" sqref="D5:E5"/>
    </sheetView>
  </sheetViews>
  <sheetFormatPr baseColWidth="10" defaultColWidth="9.796875" defaultRowHeight="12"/>
  <cols>
    <col width="9.796875" customWidth="1" style="4" min="1" max="5"/>
    <col width="6.59765625" bestFit="1" customWidth="1" style="4" min="6" max="6"/>
    <col width="10.19921875" customWidth="1" style="4" min="7" max="7"/>
    <col width="9.796875" customWidth="1" style="4" min="8" max="8"/>
    <col width="9.796875" customWidth="1" style="4" min="9" max="9"/>
    <col width="12.3984375" customWidth="1" style="2" min="10" max="10"/>
    <col width="21" customWidth="1" style="4" min="11" max="11"/>
    <col width="9.796875" customWidth="1" style="4" min="12" max="16384"/>
  </cols>
  <sheetData>
    <row r="1" ht="12.75" customHeight="1">
      <c r="A1" s="75" t="inlineStr">
        <is>
          <t>HORAS DE SERVIÇO</t>
        </is>
      </c>
    </row>
    <row r="2" ht="11.25" customHeight="1"/>
    <row r="3" ht="13" customHeight="1" thickBot="1"/>
    <row r="4" ht="17.25" customHeight="1" thickBot="1">
      <c r="A4" s="1" t="inlineStr">
        <is>
          <t>Período:</t>
        </is>
      </c>
      <c r="B4" s="89" t="n">
        <v>45931</v>
      </c>
      <c r="C4" s="72" t="inlineStr">
        <is>
          <t>a</t>
        </is>
      </c>
      <c r="D4" s="90" t="n">
        <v>45961</v>
      </c>
      <c r="E4" s="91" t="n"/>
      <c r="H4" s="32" t="inlineStr">
        <is>
          <t>Total de horas úteis</t>
        </is>
      </c>
      <c r="I4" s="92" t="n"/>
      <c r="J4" s="32" t="inlineStr">
        <is>
          <t>Saldo</t>
        </is>
      </c>
    </row>
    <row r="5" ht="13.5" customHeight="1" thickBot="1">
      <c r="B5" s="93">
        <f>B4</f>
        <v/>
      </c>
      <c r="C5" s="94" t="n"/>
      <c r="D5" s="95">
        <f>D4</f>
        <v/>
      </c>
      <c r="E5" s="96" t="n"/>
      <c r="H5" s="97">
        <f>23*8</f>
        <v/>
      </c>
      <c r="I5" s="92" t="n"/>
      <c r="J5" s="31">
        <f>J44-H5</f>
        <v/>
      </c>
    </row>
    <row r="6">
      <c r="C6" s="6" t="n"/>
      <c r="E6" s="6" t="n"/>
      <c r="H6" s="28" t="n"/>
      <c r="I6" s="29" t="n"/>
      <c r="J6" s="29" t="n"/>
      <c r="K6" s="30" t="n"/>
    </row>
    <row r="7">
      <c r="C7" s="6" t="n"/>
      <c r="E7" s="6" t="n"/>
      <c r="G7" s="25" t="n"/>
      <c r="H7" s="2" t="n"/>
      <c r="I7" s="2" t="n"/>
      <c r="J7" s="26" t="n"/>
    </row>
    <row r="8" ht="18.75" customHeight="1">
      <c r="A8" s="27" t="inlineStr">
        <is>
          <t xml:space="preserve">Nome:  </t>
        </is>
      </c>
      <c r="B8" s="99">
        <f>'Setembro - 2025'!B8</f>
        <v/>
      </c>
      <c r="C8" s="100" t="n"/>
      <c r="D8" s="100" t="n"/>
      <c r="E8" s="100" t="n"/>
      <c r="F8" s="101" t="n"/>
      <c r="G8" s="3" t="n"/>
      <c r="H8" s="3" t="n"/>
      <c r="I8" s="3" t="n"/>
      <c r="J8" s="3" t="n"/>
    </row>
    <row r="9" ht="16.5" customHeight="1">
      <c r="A9" s="27" t="inlineStr">
        <is>
          <t xml:space="preserve">Projeto: </t>
        </is>
      </c>
      <c r="B9" s="57">
        <f>'Setembro - 2025'!B9</f>
        <v/>
      </c>
      <c r="C9" s="58" t="n"/>
      <c r="D9" s="58" t="n"/>
      <c r="E9" s="58" t="n"/>
      <c r="F9" s="59" t="n"/>
      <c r="G9" s="3" t="n"/>
      <c r="H9" s="3" t="n"/>
      <c r="I9" s="3" t="n"/>
      <c r="J9" s="3" t="n"/>
    </row>
    <row r="10">
      <c r="A10" s="1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4" t="n"/>
    </row>
    <row r="11" ht="15" customHeight="1"/>
    <row r="12" ht="18.75" customHeight="1">
      <c r="A12" s="71" t="inlineStr">
        <is>
          <t>Dia</t>
        </is>
      </c>
      <c r="B12" s="98" t="n"/>
      <c r="C12" s="71" t="inlineStr">
        <is>
          <t>Entr.</t>
        </is>
      </c>
      <c r="D12" s="21" t="inlineStr">
        <is>
          <t>Saída</t>
        </is>
      </c>
      <c r="E12" s="22" t="inlineStr">
        <is>
          <t>Entr.</t>
        </is>
      </c>
      <c r="F12" s="23" t="inlineStr">
        <is>
          <t>Saída</t>
        </is>
      </c>
      <c r="G12" s="71" t="inlineStr">
        <is>
          <t>Entr.</t>
        </is>
      </c>
      <c r="H12" s="21" t="inlineStr">
        <is>
          <t>Saída</t>
        </is>
      </c>
      <c r="I12" s="70" t="n"/>
      <c r="J12" s="24" t="inlineStr">
        <is>
          <t>Geral</t>
        </is>
      </c>
      <c r="K12" s="24" t="inlineStr">
        <is>
          <t>Observações</t>
        </is>
      </c>
    </row>
    <row r="13">
      <c r="A13" s="20">
        <f>B4</f>
        <v/>
      </c>
      <c r="B13" s="62">
        <f>IF(A13=0,0,MID("DOMSegTerQuaQuiSexSAB",3*WEEKDAY(A13)-2,3))</f>
        <v/>
      </c>
      <c r="C13" s="8" t="n"/>
      <c r="D13" s="8" t="n"/>
      <c r="E13" s="9" t="n"/>
      <c r="F13" s="9" t="n"/>
      <c r="G13" s="9" t="n"/>
      <c r="H13" s="9" t="n"/>
      <c r="I13" s="8" t="n"/>
      <c r="J13" s="5">
        <f>(D13-C13+F13-E13+H13-G13)*24</f>
        <v/>
      </c>
      <c r="K13" s="35" t="n"/>
    </row>
    <row r="14">
      <c r="A14" s="7">
        <f>IF(A13&gt;=$D$4,0,IF(A13=0,0,1+A13))</f>
        <v/>
      </c>
      <c r="B14" s="62">
        <f>IF(A14=0,0,MID("DOMSegTerQuaQuiSexSAB",3*WEEKDAY(A14)-2,3))</f>
        <v/>
      </c>
      <c r="C14" s="8" t="n"/>
      <c r="D14" s="8" t="n"/>
      <c r="E14" s="9" t="n"/>
      <c r="F14" s="9" t="n"/>
      <c r="G14" s="9" t="n"/>
      <c r="H14" s="9" t="n"/>
      <c r="I14" s="8" t="n"/>
      <c r="J14" s="5">
        <f>(D14-C14+F14-E14+H14-G14)*24</f>
        <v/>
      </c>
      <c r="K14" s="35" t="n"/>
    </row>
    <row r="15">
      <c r="A15" s="7">
        <f>IF(A14&gt;=$D$4,0,IF(A14=0,0,1+A14))</f>
        <v/>
      </c>
      <c r="B15" s="62">
        <f>IF(A15=0,0,MID("DOMSegTerQuaQuiSexSAB",3*WEEKDAY(A15)-2,3))</f>
        <v/>
      </c>
      <c r="C15" s="8" t="n"/>
      <c r="D15" s="8" t="n"/>
      <c r="E15" s="9" t="n"/>
      <c r="F15" s="9" t="n"/>
      <c r="G15" s="9" t="n"/>
      <c r="H15" s="9" t="n"/>
      <c r="I15" s="8" t="n"/>
      <c r="J15" s="5">
        <f>(D15-C15+F15-E15+H15-G15)*24</f>
        <v/>
      </c>
      <c r="K15" s="35" t="n"/>
    </row>
    <row r="16">
      <c r="A16" s="7">
        <f>IF(A15&gt;=$D$4,0,IF(A15=0,0,1+A15))</f>
        <v/>
      </c>
      <c r="B16" s="62">
        <f>IF(A16=0,0,MID("DOMSegTerQuaQuiSexSAB",3*WEEKDAY(A16)-2,3))</f>
        <v/>
      </c>
      <c r="C16" s="8" t="n"/>
      <c r="D16" s="8" t="n"/>
      <c r="E16" s="9" t="n"/>
      <c r="F16" s="9" t="n"/>
      <c r="G16" s="9" t="n"/>
      <c r="H16" s="9" t="n"/>
      <c r="I16" s="8" t="n"/>
      <c r="J16" s="5">
        <f>(D16-C16+F16-E16+H16-G16)*24</f>
        <v/>
      </c>
      <c r="K16" s="35" t="n"/>
    </row>
    <row r="17">
      <c r="A17" s="7">
        <f>IF(A16&gt;=$D$4,0,IF(A16=0,0,1+A16))</f>
        <v/>
      </c>
      <c r="B17" s="62">
        <f>IF(A17=0,0,MID("DOMSegTerQuaQuiSexSAB",3*WEEKDAY(A17)-2,3))</f>
        <v/>
      </c>
      <c r="C17" s="8" t="n"/>
      <c r="D17" s="8" t="n"/>
      <c r="E17" s="9" t="n"/>
      <c r="F17" s="9" t="n"/>
      <c r="G17" s="9" t="n"/>
      <c r="H17" s="9" t="n"/>
      <c r="I17" s="8" t="n"/>
      <c r="J17" s="5">
        <f>(D17-C17+F17-E17+H17-G17)*24</f>
        <v/>
      </c>
      <c r="K17" s="35" t="n"/>
    </row>
    <row r="18">
      <c r="A18" s="7">
        <f>IF(A17&gt;=$D$4,0,IF(A17=0,0,1+A17))</f>
        <v/>
      </c>
      <c r="B18" s="62">
        <f>IF(A18=0,0,MID("DOMSegTerQuaQuiSexSAB",3*WEEKDAY(A18)-2,3))</f>
        <v/>
      </c>
      <c r="C18" s="8" t="n"/>
      <c r="D18" s="8" t="n"/>
      <c r="E18" s="9" t="n"/>
      <c r="F18" s="9" t="n"/>
      <c r="G18" s="9" t="n"/>
      <c r="H18" s="9" t="n"/>
      <c r="I18" s="8" t="n"/>
      <c r="J18" s="5">
        <f>(D18-C18+F18-E18+H18-G18)*24</f>
        <v/>
      </c>
      <c r="K18" s="35" t="n"/>
    </row>
    <row r="19">
      <c r="A19" s="7">
        <f>IF(A18&gt;=$D$4,0,IF(A18=0,0,1+A18))</f>
        <v/>
      </c>
      <c r="B19" s="62">
        <f>IF(A19=0,0,MID("DOMSegTerQuaQuiSexSAB",3*WEEKDAY(A19)-2,3))</f>
        <v/>
      </c>
      <c r="C19" s="11" t="n"/>
      <c r="D19" s="11" t="n"/>
      <c r="E19" s="12" t="n"/>
      <c r="F19" s="12" t="n"/>
      <c r="G19" s="12" t="n"/>
      <c r="H19" s="12" t="n"/>
      <c r="I19" s="11" t="n"/>
      <c r="J19" s="5">
        <f>(D19-C19+F19-E19+H19-G19)*24</f>
        <v/>
      </c>
      <c r="K19" s="36" t="n"/>
    </row>
    <row r="20">
      <c r="A20" s="7">
        <f>IF(A19&gt;=$D$4,0,IF(A19=0,0,1+A19))</f>
        <v/>
      </c>
      <c r="B20" s="62">
        <f>IF(A20=0,0,MID("DOMSegTerQuaQuiSexSAB",3*WEEKDAY(A20)-2,3))</f>
        <v/>
      </c>
      <c r="C20" s="8" t="n"/>
      <c r="D20" s="8" t="n"/>
      <c r="E20" s="9" t="n"/>
      <c r="F20" s="9" t="n"/>
      <c r="G20" s="9" t="n"/>
      <c r="H20" s="9" t="n"/>
      <c r="I20" s="8" t="n"/>
      <c r="J20" s="5">
        <f>(D20-C20+F20-E20+H20-G20)*24</f>
        <v/>
      </c>
      <c r="K20" s="35" t="n"/>
    </row>
    <row r="21">
      <c r="A21" s="7">
        <f>IF(A20&gt;=$D$4,0,IF(A20=0,0,1+A20))</f>
        <v/>
      </c>
      <c r="B21" s="62">
        <f>IF(A21=0,0,MID("DOMSegTerQuaQuiSexSAB",3*WEEKDAY(A21)-2,3))</f>
        <v/>
      </c>
      <c r="C21" s="8" t="n"/>
      <c r="D21" s="8" t="n"/>
      <c r="E21" s="9" t="n"/>
      <c r="F21" s="9" t="n"/>
      <c r="G21" s="9" t="n"/>
      <c r="H21" s="9" t="n"/>
      <c r="I21" s="8" t="n"/>
      <c r="J21" s="5">
        <f>(D21-C21+F21-E21+H21-G21)*24</f>
        <v/>
      </c>
      <c r="K21" s="35" t="n"/>
    </row>
    <row r="22">
      <c r="A22" s="7">
        <f>IF(A21&gt;=$D$4,0,IF(A21=0,0,1+A21))</f>
        <v/>
      </c>
      <c r="B22" s="62">
        <f>IF(A22=0,0,MID("DOMSegTerQuaQuiSexSAB",3*WEEKDAY(A22)-2,3))</f>
        <v/>
      </c>
      <c r="C22" s="8" t="n"/>
      <c r="D22" s="8" t="n"/>
      <c r="E22" s="9" t="n"/>
      <c r="F22" s="9" t="n"/>
      <c r="G22" s="9" t="n"/>
      <c r="H22" s="9" t="n"/>
      <c r="I22" s="8" t="n"/>
      <c r="J22" s="5">
        <f>(D22-C22+F22-E22+H22-G22)*24</f>
        <v/>
      </c>
      <c r="K22" s="35" t="n"/>
    </row>
    <row r="23">
      <c r="A23" s="7">
        <f>IF(A22&gt;=$D$4,0,IF(A22=0,0,1+A22))</f>
        <v/>
      </c>
      <c r="B23" s="62">
        <f>IF(A23=0,0,MID("DOMSegTerQuaQuiSexSAB",3*WEEKDAY(A23)-2,3))</f>
        <v/>
      </c>
      <c r="C23" s="8" t="n"/>
      <c r="D23" s="8" t="n"/>
      <c r="E23" s="9" t="n"/>
      <c r="F23" s="9" t="n"/>
      <c r="G23" s="9" t="n"/>
      <c r="H23" s="9" t="n"/>
      <c r="I23" s="8" t="n"/>
      <c r="J23" s="5">
        <f>(D23-C23+F23-E23+H23-G23)*24</f>
        <v/>
      </c>
      <c r="K23" s="35" t="n"/>
    </row>
    <row r="24">
      <c r="A24" s="13">
        <f>IF(A23&gt;=$D$4,0,IF(A23=0,0,1+A23))</f>
        <v/>
      </c>
      <c r="B24" s="63">
        <f>IF(A24=0,0,MID("DOMSegTerQuaQuiSexSAB",3*WEEKDAY(A24)-2,3))</f>
        <v/>
      </c>
      <c r="C24" s="8" t="n"/>
      <c r="D24" s="8" t="n"/>
      <c r="E24" s="9" t="n"/>
      <c r="F24" s="9" t="n"/>
      <c r="G24" s="9" t="n"/>
      <c r="H24" s="9" t="n"/>
      <c r="I24" s="8" t="n"/>
      <c r="J24" s="5">
        <f>(D24-C24+F24-E24+H24-G24)*24</f>
        <v/>
      </c>
      <c r="K24" s="35" t="n"/>
    </row>
    <row r="25">
      <c r="A25" s="13">
        <f>IF(A24&gt;=$D$4,0,IF(A24=0,0,1+A24))</f>
        <v/>
      </c>
      <c r="B25" s="63">
        <f>IF(A25=0,0,MID("DOMSegTerQuaQuiSexSAB",3*WEEKDAY(A25)-2,3))</f>
        <v/>
      </c>
      <c r="C25" s="8" t="n"/>
      <c r="D25" s="8" t="n"/>
      <c r="E25" s="9" t="n"/>
      <c r="F25" s="9" t="n"/>
      <c r="G25" s="9" t="n"/>
      <c r="H25" s="9" t="n"/>
      <c r="I25" s="8" t="n"/>
      <c r="J25" s="5">
        <f>(D25-C25+F25-E25+H25-G25)*24</f>
        <v/>
      </c>
      <c r="K25" s="35" t="n"/>
    </row>
    <row r="26">
      <c r="A26" s="7">
        <f>IF(A25&gt;=$D$4,0,IF(A25=0,0,1+A25))</f>
        <v/>
      </c>
      <c r="B26" s="62">
        <f>IF(A26=0,0,MID("DOMSegTerQuaQuiSexSAB",3*WEEKDAY(A26)-2,3))</f>
        <v/>
      </c>
      <c r="C26" s="8" t="n"/>
      <c r="D26" s="8" t="n"/>
      <c r="E26" s="9" t="n"/>
      <c r="F26" s="9" t="n"/>
      <c r="G26" s="9" t="n"/>
      <c r="H26" s="9" t="n"/>
      <c r="I26" s="8" t="n"/>
      <c r="J26" s="5">
        <f>(D26-C26+F26-E26+H26-G26)*24</f>
        <v/>
      </c>
      <c r="K26" s="35" t="n"/>
    </row>
    <row r="27">
      <c r="A27" s="7">
        <f>IF(A26&gt;=$D$4,0,IF(A26=0,0,1+A26))</f>
        <v/>
      </c>
      <c r="B27" s="62">
        <f>IF(A27=0,0,MID("DOMSegTerQuaQuiSexSAB",3*WEEKDAY(A27)-2,3))</f>
        <v/>
      </c>
      <c r="C27" s="8" t="n"/>
      <c r="D27" s="8" t="n"/>
      <c r="E27" s="9" t="n"/>
      <c r="F27" s="9" t="n"/>
      <c r="G27" s="14" t="n"/>
      <c r="H27" s="9" t="n"/>
      <c r="I27" s="8" t="n"/>
      <c r="J27" s="5">
        <f>(D27-C27+F27-E27+H27-G27)*24</f>
        <v/>
      </c>
      <c r="K27" s="37" t="n"/>
    </row>
    <row r="28">
      <c r="A28" s="7">
        <f>IF(A27&gt;=$D$4,0,IF(A27=0,0,1+A27))</f>
        <v/>
      </c>
      <c r="B28" s="62">
        <f>IF(A28=0,0,MID("DOMSegTerQuaQuiSexSAB",3*WEEKDAY(A28)-2,3))</f>
        <v/>
      </c>
      <c r="C28" s="8" t="n"/>
      <c r="D28" s="8" t="n"/>
      <c r="E28" s="9" t="n"/>
      <c r="F28" s="9" t="n"/>
      <c r="G28" s="9" t="n"/>
      <c r="H28" s="9" t="n"/>
      <c r="I28" s="8" t="n"/>
      <c r="J28" s="5">
        <f>(D28-C28+F28-E28+H28-G28)*24</f>
        <v/>
      </c>
      <c r="K28" s="35" t="n"/>
    </row>
    <row r="29">
      <c r="A29" s="7">
        <f>IF(A28&gt;=$D$4,0,IF(A28=0,0,1+A28))</f>
        <v/>
      </c>
      <c r="B29" s="62">
        <f>IF(A29=0,0,MID("DOMSegTerQuaQuiSexSAB",3*WEEKDAY(A29)-2,3))</f>
        <v/>
      </c>
      <c r="C29" s="8" t="n"/>
      <c r="D29" s="8" t="n"/>
      <c r="E29" s="9" t="n"/>
      <c r="F29" s="9" t="n"/>
      <c r="G29" s="9" t="n"/>
      <c r="H29" s="9" t="n"/>
      <c r="I29" s="8" t="n"/>
      <c r="J29" s="5">
        <f>(D29-C29+F29-E29+H29-G29)*24</f>
        <v/>
      </c>
      <c r="K29" s="35" t="n"/>
    </row>
    <row r="30">
      <c r="A30" s="7">
        <f>IF(A29&gt;=$D$4,0,IF(A29=0,0,1+A29))</f>
        <v/>
      </c>
      <c r="B30" s="62">
        <f>IF(A30=0,0,MID("DOMSegTerQuaQuiSexSAB",3*WEEKDAY(A30)-2,3))</f>
        <v/>
      </c>
      <c r="C30" s="8" t="n"/>
      <c r="D30" s="8" t="n"/>
      <c r="E30" s="9" t="n"/>
      <c r="F30" s="9" t="n"/>
      <c r="G30" s="9" t="n"/>
      <c r="H30" s="9" t="n"/>
      <c r="I30" s="8" t="n"/>
      <c r="J30" s="5">
        <f>(D30-C30+F30-E30+H30-G30)*24</f>
        <v/>
      </c>
      <c r="K30" s="35" t="n"/>
    </row>
    <row r="31">
      <c r="A31" s="7">
        <f>IF(A30&gt;=$D$4,0,IF(A30=0,0,1+A30))</f>
        <v/>
      </c>
      <c r="B31" s="62">
        <f>IF(A31=0,0,MID("DOMSegTerQuaQuiSexSAB",3*WEEKDAY(A31)-2,3))</f>
        <v/>
      </c>
      <c r="C31" s="8" t="n"/>
      <c r="D31" s="8" t="n"/>
      <c r="E31" s="9" t="n"/>
      <c r="F31" s="9" t="n"/>
      <c r="G31" s="9" t="n"/>
      <c r="H31" s="9" t="n"/>
      <c r="I31" s="8" t="n"/>
      <c r="J31" s="5">
        <f>(D31-C31+F31-E31+H31-G31)*24</f>
        <v/>
      </c>
      <c r="K31" s="35" t="n"/>
    </row>
    <row r="32">
      <c r="A32" s="7">
        <f>IF(A31&gt;=$D$4,0,IF(A31=0,0,1+A31))</f>
        <v/>
      </c>
      <c r="B32" s="62">
        <f>IF(A32=0,0,MID("DOMSegTerQuaQuiSexSAB",3*WEEKDAY(A32)-2,3))</f>
        <v/>
      </c>
      <c r="C32" s="8" t="n"/>
      <c r="D32" s="8" t="n"/>
      <c r="E32" s="9" t="n"/>
      <c r="F32" s="9" t="n"/>
      <c r="G32" s="9" t="n"/>
      <c r="H32" s="9" t="n"/>
      <c r="I32" s="8" t="n"/>
      <c r="J32" s="5">
        <f>(D32-C32+F32-E32+H32-G32)*24</f>
        <v/>
      </c>
      <c r="K32" s="35" t="n"/>
    </row>
    <row r="33">
      <c r="A33" s="7">
        <f>IF(A32&gt;=$D$4,0,IF(A32=0,0,1+A32))</f>
        <v/>
      </c>
      <c r="B33" s="62">
        <f>IF(A33=0,0,MID("DOMSegTerQuaQuiSexSAB",3*WEEKDAY(A33)-2,3))</f>
        <v/>
      </c>
      <c r="C33" s="8" t="n"/>
      <c r="D33" s="8" t="n"/>
      <c r="E33" s="9" t="n"/>
      <c r="F33" s="9" t="n"/>
      <c r="G33" s="9" t="n"/>
      <c r="H33" s="9" t="n"/>
      <c r="I33" s="8" t="n"/>
      <c r="J33" s="5">
        <f>(D33-C33+F33-E33+H33-G33)*24</f>
        <v/>
      </c>
      <c r="K33" s="35" t="n"/>
    </row>
    <row r="34">
      <c r="A34" s="7">
        <f>IF(A33&gt;=$D$4,0,IF(A33=0,0,1+A33))</f>
        <v/>
      </c>
      <c r="B34" s="62">
        <f>IF(A34=0,0,MID("DOMSegTerQuaQuiSexSAB",3*WEEKDAY(A34)-2,3))</f>
        <v/>
      </c>
      <c r="C34" s="8" t="n"/>
      <c r="D34" s="8" t="n"/>
      <c r="E34" s="9" t="n"/>
      <c r="F34" s="9" t="n"/>
      <c r="G34" s="9" t="n"/>
      <c r="H34" s="9" t="n"/>
      <c r="I34" s="8" t="n"/>
      <c r="J34" s="5">
        <f>(D34-C34+F34-E34+H34-G34)*24</f>
        <v/>
      </c>
      <c r="K34" s="35" t="n"/>
    </row>
    <row r="35">
      <c r="A35" s="7">
        <f>IF(A34&gt;=$D$4,0,IF(A34=0,0,1+A34))</f>
        <v/>
      </c>
      <c r="B35" s="62">
        <f>IF(A35=0,0,MID("DOMSegTerQuaQuiSexSAB",3*WEEKDAY(A35)-2,3))</f>
        <v/>
      </c>
      <c r="C35" s="8" t="n"/>
      <c r="D35" s="8" t="n"/>
      <c r="E35" s="9" t="n"/>
      <c r="F35" s="9" t="n"/>
      <c r="G35" s="9" t="n"/>
      <c r="H35" s="9" t="n"/>
      <c r="I35" s="8" t="n"/>
      <c r="J35" s="5">
        <f>(D35-C35+F35-E35+H35-G35)*24</f>
        <v/>
      </c>
      <c r="K35" s="35" t="n"/>
    </row>
    <row r="36">
      <c r="A36" s="7">
        <f>IF(A35&gt;=$D$4,0,IF(A35=0,0,1+A35))</f>
        <v/>
      </c>
      <c r="B36" s="62">
        <f>IF(A36=0,0,MID("DOMSegTerQuaQuiSexSAB",3*WEEKDAY(A36)-2,3))</f>
        <v/>
      </c>
      <c r="C36" s="8" t="n"/>
      <c r="D36" s="8" t="n"/>
      <c r="E36" s="9" t="n"/>
      <c r="F36" s="9" t="n"/>
      <c r="G36" s="9" t="n"/>
      <c r="H36" s="9" t="n"/>
      <c r="I36" s="8" t="n"/>
      <c r="J36" s="5">
        <f>(D36-C36+F36-E36+H36-G36)*24</f>
        <v/>
      </c>
      <c r="K36" s="35" t="n"/>
    </row>
    <row r="37">
      <c r="A37" s="7">
        <f>IF(A36&gt;=$D$4,0,IF(A36=0,0,1+A36))</f>
        <v/>
      </c>
      <c r="B37" s="62">
        <f>IF(A37=0,0,MID("DOMSegTerQuaQuiSexSAB",3*WEEKDAY(A37)-2,3))</f>
        <v/>
      </c>
      <c r="C37" s="8" t="n"/>
      <c r="D37" s="8" t="n"/>
      <c r="E37" s="9" t="n"/>
      <c r="F37" s="9" t="n"/>
      <c r="G37" s="9" t="n"/>
      <c r="H37" s="9" t="n"/>
      <c r="I37" s="8" t="n"/>
      <c r="J37" s="5">
        <f>(D37-C37+F37-E37+H37-G37)*24</f>
        <v/>
      </c>
      <c r="K37" s="35" t="n"/>
    </row>
    <row r="38">
      <c r="A38" s="7">
        <f>IF(A37&gt;=$D$4,0,IF(A37=0,0,1+A37))</f>
        <v/>
      </c>
      <c r="B38" s="62">
        <f>IF(A38=0,0,MID("DOMSegTerQuaQuiSexSAB",3*WEEKDAY(A38)-2,3))</f>
        <v/>
      </c>
      <c r="C38" s="8" t="n"/>
      <c r="D38" s="8" t="n"/>
      <c r="E38" s="9" t="n"/>
      <c r="F38" s="9" t="n"/>
      <c r="G38" s="9" t="n"/>
      <c r="H38" s="9" t="n"/>
      <c r="I38" s="8" t="n"/>
      <c r="J38" s="5">
        <f>(D38-C38+F38-E38+H38-G38)*24</f>
        <v/>
      </c>
      <c r="K38" s="35" t="n"/>
    </row>
    <row r="39">
      <c r="A39" s="7">
        <f>IF(A38&gt;=$D$4,0,IF(A38=0,0,1+A38))</f>
        <v/>
      </c>
      <c r="B39" s="62">
        <f>IF(A39=0,0,MID("DOMSegTerQuaQuiSexSAB",3*WEEKDAY(A39)-2,3))</f>
        <v/>
      </c>
      <c r="C39" s="8" t="n"/>
      <c r="D39" s="8" t="n"/>
      <c r="E39" s="9" t="n"/>
      <c r="F39" s="9" t="n"/>
      <c r="G39" s="9" t="n"/>
      <c r="H39" s="9" t="n"/>
      <c r="I39" s="8" t="n"/>
      <c r="J39" s="5">
        <f>(D39-C39+F39-E39+H39-G39)*24</f>
        <v/>
      </c>
      <c r="K39" s="35" t="n"/>
    </row>
    <row r="40">
      <c r="A40" s="7">
        <f>IF(A39&gt;=$D$4,0,IF(A39=0,0,1+A39))</f>
        <v/>
      </c>
      <c r="B40" s="62">
        <f>IF(A40=0,0,MID("DOMSegTerQuaQuiSexSAB",3*WEEKDAY(A40)-2,3))</f>
        <v/>
      </c>
      <c r="C40" s="8" t="n"/>
      <c r="D40" s="8" t="n"/>
      <c r="E40" s="9" t="n"/>
      <c r="F40" s="9" t="n"/>
      <c r="G40" s="9" t="n"/>
      <c r="H40" s="9" t="n"/>
      <c r="I40" s="8" t="n"/>
      <c r="J40" s="5">
        <f>(D40-C40+F40-E40+H40-G40)*24</f>
        <v/>
      </c>
      <c r="K40" s="35" t="n"/>
    </row>
    <row r="41">
      <c r="A41" s="7">
        <f>IF(A40&gt;=$D$4,0,IF(A40=0,0,1+A40))</f>
        <v/>
      </c>
      <c r="B41" s="62">
        <f>IF(A41=0,0,MID("DOMSegTerQuaQuiSexSAB",3*WEEKDAY(A41)-2,3))</f>
        <v/>
      </c>
      <c r="C41" s="8" t="n"/>
      <c r="D41" s="8" t="n"/>
      <c r="E41" s="9" t="n"/>
      <c r="F41" s="9" t="n"/>
      <c r="G41" s="9" t="n"/>
      <c r="H41" s="9" t="n"/>
      <c r="I41" s="8" t="n"/>
      <c r="J41" s="5">
        <f>(D41-C41+F41-E41+H41-G41)*24</f>
        <v/>
      </c>
      <c r="K41" s="35" t="n"/>
    </row>
    <row r="42">
      <c r="A42" s="7">
        <f>IF(A41&gt;=$D$4,0,IF(A41=0,0,1+A41))</f>
        <v/>
      </c>
      <c r="B42" s="62">
        <f>IF(A42=0,0,MID("DOMSegTerQuaQuiSexSAB",3*WEEKDAY(A42)-2,3))</f>
        <v/>
      </c>
      <c r="C42" s="8" t="n"/>
      <c r="D42" s="8" t="n"/>
      <c r="E42" s="9" t="n"/>
      <c r="F42" s="9" t="n"/>
      <c r="G42" s="9" t="n"/>
      <c r="H42" s="9" t="n"/>
      <c r="I42" s="8" t="n"/>
      <c r="J42" s="5">
        <f>(D42-C42+F42-E42+H42-G42)*24</f>
        <v/>
      </c>
      <c r="K42" s="35" t="n"/>
    </row>
    <row r="43" ht="13" customHeight="1" thickBot="1">
      <c r="A43" s="7">
        <f>IF(A42&gt;=$D$4,0,IF(A42=0,0,1+A42))</f>
        <v/>
      </c>
      <c r="B43" s="62">
        <f>IF(A43=0,0,MID("DOMSegTerQuaQuiSexSAB",3*WEEKDAY(A43)-2,3))</f>
        <v/>
      </c>
      <c r="C43" s="8" t="n"/>
      <c r="D43" s="8" t="n"/>
      <c r="E43" s="8" t="n"/>
      <c r="F43" s="9" t="n"/>
      <c r="G43" s="9" t="n"/>
      <c r="H43" s="9" t="n"/>
      <c r="I43" s="8" t="n"/>
      <c r="J43" s="5">
        <f>(D43-C43+F43-E43+H43-G43)*24</f>
        <v/>
      </c>
      <c r="K43" s="35" t="n"/>
    </row>
    <row r="44" ht="15" customHeight="1" thickBot="1">
      <c r="C44" s="15" t="n"/>
      <c r="D44" s="15" t="n"/>
      <c r="E44" s="15" t="n"/>
      <c r="F44" s="15" t="n"/>
      <c r="G44" s="15" t="n"/>
      <c r="H44" s="15" t="n"/>
      <c r="I44" s="15" t="n"/>
      <c r="J44" s="18">
        <f>SUM(J$13:J$43)</f>
        <v/>
      </c>
    </row>
    <row r="45" ht="13.25" customHeight="1">
      <c r="C45" s="15" t="n"/>
      <c r="D45" s="15" t="n"/>
      <c r="E45" s="15" t="n"/>
      <c r="F45" s="15" t="n"/>
      <c r="G45" s="15" t="n"/>
      <c r="H45" s="15" t="n"/>
      <c r="I45" s="15" t="n"/>
    </row>
  </sheetData>
  <mergeCells count="8">
    <mergeCell ref="C4:C5"/>
    <mergeCell ref="D5:E5"/>
    <mergeCell ref="H5:I5"/>
    <mergeCell ref="D4:E4"/>
    <mergeCell ref="H4:I4"/>
    <mergeCell ref="B8:F8"/>
    <mergeCell ref="A1:K2"/>
    <mergeCell ref="A12:B12"/>
  </mergeCells>
  <conditionalFormatting sqref="B13:B43">
    <cfRule type="containsText" priority="3" operator="containsText" dxfId="2" text="DOM">
      <formula>NOT(ISERROR(SEARCH("DOM",B13)))</formula>
    </cfRule>
    <cfRule type="containsText" priority="4" operator="containsText" dxfId="2" text="SAB">
      <formula>NOT(ISERROR(SEARCH("SAB",B13)))</formula>
    </cfRule>
  </conditionalFormatting>
  <conditionalFormatting sqref="G13:I43">
    <cfRule type="expression" priority="1" dxfId="0" stopIfTrue="1">
      <formula>AND(#REF!=0,0=#REF!)</formula>
    </cfRule>
  </conditionalFormatting>
  <conditionalFormatting sqref="K13:K43">
    <cfRule type="expression" priority="5" dxfId="0" stopIfTrue="1">
      <formula>AND(#REF!=0,0=#REF!)</formula>
    </cfRule>
  </conditionalFormatting>
  <pageMargins left="0.511811024" right="0.511811024" top="0.787401575" bottom="0.787401575" header="0.31496062" footer="0.31496062"/>
  <pageSetup orientation="portrait" paperSize="9" horizontalDpi="360" verticalDpi="36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D5" sqref="D5:E5"/>
    </sheetView>
  </sheetViews>
  <sheetFormatPr baseColWidth="10" defaultColWidth="9.796875" defaultRowHeight="12"/>
  <cols>
    <col width="9.796875" customWidth="1" style="4" min="1" max="9"/>
    <col width="12.796875" customWidth="1" style="2" min="10" max="10"/>
    <col width="21" customWidth="1" style="4" min="11" max="11"/>
    <col width="9.796875" customWidth="1" style="4" min="12" max="16384"/>
  </cols>
  <sheetData>
    <row r="1" ht="12.75" customHeight="1">
      <c r="A1" s="75" t="inlineStr">
        <is>
          <t>HORAS DE SERVIÇO</t>
        </is>
      </c>
    </row>
    <row r="2" ht="11.25" customHeight="1"/>
    <row r="3" ht="13" customHeight="1" thickBot="1"/>
    <row r="4" ht="13.5" customHeight="1" thickBot="1">
      <c r="A4" s="1" t="inlineStr">
        <is>
          <t>Período:</t>
        </is>
      </c>
      <c r="B4" s="89" t="n">
        <v>45962</v>
      </c>
      <c r="C4" s="72" t="inlineStr">
        <is>
          <t>a</t>
        </is>
      </c>
      <c r="D4" s="90" t="n">
        <v>45991</v>
      </c>
      <c r="E4" s="91" t="n"/>
      <c r="H4" s="32" t="inlineStr">
        <is>
          <t>Total de horas úteis</t>
        </is>
      </c>
      <c r="I4" s="92" t="n"/>
      <c r="J4" s="32" t="inlineStr">
        <is>
          <t>Saldo</t>
        </is>
      </c>
    </row>
    <row r="5" ht="13.5" customHeight="1" thickBot="1">
      <c r="B5" s="93">
        <f>B4</f>
        <v/>
      </c>
      <c r="C5" s="94" t="n"/>
      <c r="D5" s="95">
        <f>D4</f>
        <v/>
      </c>
      <c r="E5" s="96" t="n"/>
      <c r="H5" s="97">
        <f>19*8</f>
        <v/>
      </c>
      <c r="I5" s="92" t="n"/>
      <c r="J5" s="31">
        <f>J43-H5</f>
        <v/>
      </c>
    </row>
    <row r="6">
      <c r="C6" s="6" t="n"/>
      <c r="E6" s="6" t="n"/>
      <c r="H6" s="28" t="n"/>
      <c r="I6" s="29" t="n"/>
      <c r="J6" s="29" t="n"/>
      <c r="K6" s="30" t="n"/>
    </row>
    <row r="7">
      <c r="C7" s="6" t="n"/>
      <c r="E7" s="6" t="n"/>
      <c r="G7" s="25" t="n"/>
      <c r="H7" s="2" t="n"/>
      <c r="I7" s="2" t="n"/>
      <c r="J7" s="26" t="n"/>
    </row>
    <row r="8" ht="18.75" customHeight="1">
      <c r="A8" s="27" t="inlineStr">
        <is>
          <t xml:space="preserve">Nome:  </t>
        </is>
      </c>
      <c r="B8" s="102">
        <f>'Setembro - 2025'!B8</f>
        <v/>
      </c>
      <c r="C8" s="103" t="n"/>
      <c r="D8" s="103" t="n"/>
      <c r="E8" s="103" t="n"/>
      <c r="F8" s="104" t="n"/>
      <c r="G8" s="3" t="n"/>
      <c r="H8" s="3" t="n"/>
      <c r="I8" s="3" t="n"/>
      <c r="J8" s="3" t="n"/>
    </row>
    <row r="9" ht="16.5" customHeight="1">
      <c r="A9" s="56" t="inlineStr">
        <is>
          <t xml:space="preserve">Projeto: </t>
        </is>
      </c>
      <c r="B9" s="57">
        <f>'Outubro - 2025'!B9</f>
        <v/>
      </c>
      <c r="C9" s="58" t="n"/>
      <c r="D9" s="58" t="n"/>
      <c r="E9" s="58" t="n"/>
      <c r="F9" s="59" t="n"/>
      <c r="G9" s="3" t="n"/>
      <c r="H9" s="3" t="n"/>
      <c r="I9" s="3" t="n"/>
      <c r="J9" s="3" t="n"/>
    </row>
    <row r="10">
      <c r="A10" s="1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4" t="n"/>
    </row>
    <row r="11" ht="15" customHeight="1"/>
    <row r="12" ht="18.75" customHeight="1">
      <c r="A12" s="71" t="inlineStr">
        <is>
          <t>Dia</t>
        </is>
      </c>
      <c r="B12" s="98" t="n"/>
      <c r="C12" s="71" t="inlineStr">
        <is>
          <t>Entr.</t>
        </is>
      </c>
      <c r="D12" s="21" t="inlineStr">
        <is>
          <t>Saída</t>
        </is>
      </c>
      <c r="E12" s="22" t="inlineStr">
        <is>
          <t>Entr.</t>
        </is>
      </c>
      <c r="F12" s="23" t="inlineStr">
        <is>
          <t>Saída</t>
        </is>
      </c>
      <c r="G12" s="71" t="inlineStr">
        <is>
          <t>Entr.</t>
        </is>
      </c>
      <c r="H12" s="21" t="inlineStr">
        <is>
          <t>Saída</t>
        </is>
      </c>
      <c r="I12" s="70" t="n"/>
      <c r="J12" s="24" t="inlineStr">
        <is>
          <t>Geral</t>
        </is>
      </c>
      <c r="K12" s="24" t="inlineStr">
        <is>
          <t>Observações</t>
        </is>
      </c>
    </row>
    <row r="13">
      <c r="A13" s="20">
        <f>B4</f>
        <v/>
      </c>
      <c r="B13" s="61">
        <f>IF(A13=0,0,MID("DOMSegTerQuaQuiSexSAB",3*WEEKDAY(A13)-2,3))</f>
        <v/>
      </c>
      <c r="C13" s="8" t="n"/>
      <c r="D13" s="8" t="n"/>
      <c r="E13" s="9" t="n"/>
      <c r="F13" s="9" t="n"/>
      <c r="G13" s="9" t="n"/>
      <c r="H13" s="9" t="n"/>
      <c r="I13" s="8" t="n"/>
      <c r="J13" s="5">
        <f>(D13-C13+F13-E13+H13-G13)*24</f>
        <v/>
      </c>
      <c r="K13" s="35" t="n"/>
    </row>
    <row r="14">
      <c r="A14" s="7">
        <f>IF(A13&gt;=$D$4,0,IF(A13=0,0,1+A13))</f>
        <v/>
      </c>
      <c r="B14" s="62">
        <f>IF(A14=0,0,MID("DOMSegTerQuaQuiSexSAB",3*WEEKDAY(A14)-2,3))</f>
        <v/>
      </c>
      <c r="C14" s="8" t="n"/>
      <c r="D14" s="8" t="n"/>
      <c r="E14" s="9" t="n"/>
      <c r="F14" s="9" t="n"/>
      <c r="G14" s="9" t="n"/>
      <c r="H14" s="9" t="n"/>
      <c r="I14" s="8" t="n"/>
      <c r="J14" s="5">
        <f>(D14-C14+F14-E14+H14-G14)*24</f>
        <v/>
      </c>
      <c r="K14" s="35" t="n"/>
    </row>
    <row r="15">
      <c r="A15" s="7">
        <f>IF(A14&gt;=$D$4,0,IF(A14=0,0,1+A14))</f>
        <v/>
      </c>
      <c r="B15" s="62">
        <f>IF(A15=0,0,MID("DOMSegTerQuaQuiSexSAB",3*WEEKDAY(A15)-2,3))</f>
        <v/>
      </c>
      <c r="C15" s="8" t="n"/>
      <c r="D15" s="8" t="n"/>
      <c r="E15" s="9" t="n"/>
      <c r="F15" s="9" t="n"/>
      <c r="G15" s="9" t="n"/>
      <c r="H15" s="9" t="n"/>
      <c r="I15" s="8" t="n"/>
      <c r="J15" s="5">
        <f>(D15-C15+F15-E15+H15-G15)*24</f>
        <v/>
      </c>
      <c r="K15" s="35" t="n"/>
    </row>
    <row r="16">
      <c r="A16" s="7">
        <f>IF(A15&gt;=$D$4,0,IF(A15=0,0,1+A15))</f>
        <v/>
      </c>
      <c r="B16" s="62">
        <f>IF(A16=0,0,MID("DOMSegTerQuaQuiSexSAB",3*WEEKDAY(A16)-2,3))</f>
        <v/>
      </c>
      <c r="C16" s="8" t="n"/>
      <c r="D16" s="8" t="n"/>
      <c r="E16" s="9" t="n"/>
      <c r="F16" s="9" t="n"/>
      <c r="G16" s="9" t="n"/>
      <c r="H16" s="9" t="n"/>
      <c r="I16" s="8" t="n"/>
      <c r="J16" s="5">
        <f>(D16-C16+F16-E16+H16-G16)*24</f>
        <v/>
      </c>
      <c r="K16" s="35" t="n"/>
    </row>
    <row r="17">
      <c r="A17" s="7">
        <f>IF(A16&gt;=$D$4,0,IF(A16=0,0,1+A16))</f>
        <v/>
      </c>
      <c r="B17" s="62">
        <f>IF(A17=0,0,MID("DOMSegTerQuaQuiSexSAB",3*WEEKDAY(A17)-2,3))</f>
        <v/>
      </c>
      <c r="C17" s="8" t="n"/>
      <c r="D17" s="8" t="n"/>
      <c r="E17" s="9" t="n"/>
      <c r="F17" s="9" t="n"/>
      <c r="G17" s="9" t="n"/>
      <c r="H17" s="9" t="n"/>
      <c r="I17" s="8" t="n"/>
      <c r="J17" s="5">
        <f>(D17-C17+F17-E17+H17-G17)*24</f>
        <v/>
      </c>
      <c r="K17" s="35" t="n"/>
    </row>
    <row r="18">
      <c r="A18" s="7">
        <f>IF(A17&gt;=$D$4,0,IF(A17=0,0,1+A17))</f>
        <v/>
      </c>
      <c r="B18" s="62">
        <f>IF(A18=0,0,MID("DOMSegTerQuaQuiSexSAB",3*WEEKDAY(A18)-2,3))</f>
        <v/>
      </c>
      <c r="C18" s="8" t="n"/>
      <c r="D18" s="8" t="n"/>
      <c r="E18" s="9" t="n"/>
      <c r="F18" s="9" t="n"/>
      <c r="G18" s="9" t="n"/>
      <c r="H18" s="9" t="n"/>
      <c r="I18" s="8" t="n"/>
      <c r="J18" s="5">
        <f>(D18-C18+F18-E18+H18-G18)*24</f>
        <v/>
      </c>
      <c r="K18" s="35" t="n"/>
    </row>
    <row r="19">
      <c r="A19" s="7">
        <f>IF(A18&gt;=$D$4,0,IF(A18=0,0,1+A18))</f>
        <v/>
      </c>
      <c r="B19" s="62">
        <f>IF(A19=0,0,MID("DOMSegTerQuaQuiSexSAB",3*WEEKDAY(A19)-2,3))</f>
        <v/>
      </c>
      <c r="C19" s="11" t="n"/>
      <c r="D19" s="11" t="n"/>
      <c r="E19" s="12" t="n"/>
      <c r="F19" s="12" t="n"/>
      <c r="G19" s="12" t="n"/>
      <c r="H19" s="12" t="n"/>
      <c r="I19" s="11" t="n"/>
      <c r="J19" s="5">
        <f>(D19-C19+F19-E19+H19-G19)*24</f>
        <v/>
      </c>
      <c r="K19" s="36" t="n"/>
    </row>
    <row r="20">
      <c r="A20" s="7">
        <f>IF(A19&gt;=$D$4,0,IF(A19=0,0,1+A19))</f>
        <v/>
      </c>
      <c r="B20" s="62">
        <f>IF(A20=0,0,MID("DOMSegTerQuaQuiSexSAB",3*WEEKDAY(A20)-2,3))</f>
        <v/>
      </c>
      <c r="C20" s="8" t="n"/>
      <c r="D20" s="8" t="n"/>
      <c r="E20" s="9" t="n"/>
      <c r="F20" s="9" t="n"/>
      <c r="G20" s="9" t="n"/>
      <c r="H20" s="9" t="n"/>
      <c r="I20" s="8" t="n"/>
      <c r="J20" s="5">
        <f>(D20-C20+F20-E20+H20-G20)*24</f>
        <v/>
      </c>
      <c r="K20" s="35" t="n"/>
    </row>
    <row r="21">
      <c r="A21" s="7">
        <f>IF(A20&gt;=$D$4,0,IF(A20=0,0,1+A20))</f>
        <v/>
      </c>
      <c r="B21" s="62">
        <f>IF(A21=0,0,MID("DOMSegTerQuaQuiSexSAB",3*WEEKDAY(A21)-2,3))</f>
        <v/>
      </c>
      <c r="C21" s="8" t="n"/>
      <c r="D21" s="8" t="n"/>
      <c r="E21" s="9" t="n"/>
      <c r="F21" s="9" t="n"/>
      <c r="G21" s="9" t="n"/>
      <c r="H21" s="9" t="n"/>
      <c r="I21" s="8" t="n"/>
      <c r="J21" s="5">
        <f>(D21-C21+F21-E21+H21-G21)*24</f>
        <v/>
      </c>
      <c r="K21" s="35" t="n"/>
    </row>
    <row r="22">
      <c r="A22" s="7">
        <f>IF(A21&gt;=$D$4,0,IF(A21=0,0,1+A21))</f>
        <v/>
      </c>
      <c r="B22" s="62">
        <f>IF(A22=0,0,MID("DOMSegTerQuaQuiSexSAB",3*WEEKDAY(A22)-2,3))</f>
        <v/>
      </c>
      <c r="C22" s="8" t="n"/>
      <c r="D22" s="8" t="n"/>
      <c r="E22" s="9" t="n"/>
      <c r="F22" s="9" t="n"/>
      <c r="G22" s="9" t="n"/>
      <c r="H22" s="9" t="n"/>
      <c r="I22" s="8" t="n"/>
      <c r="J22" s="5">
        <f>(D22-C22+F22-E22+H22-G22)*24</f>
        <v/>
      </c>
      <c r="K22" s="35" t="n"/>
    </row>
    <row r="23">
      <c r="A23" s="7">
        <f>IF(A22&gt;=$D$4,0,IF(A22=0,0,1+A22))</f>
        <v/>
      </c>
      <c r="B23" s="62">
        <f>IF(A23=0,0,MID("DOMSegTerQuaQuiSexSAB",3*WEEKDAY(A23)-2,3))</f>
        <v/>
      </c>
      <c r="C23" s="8" t="n"/>
      <c r="D23" s="8" t="n"/>
      <c r="E23" s="9" t="n"/>
      <c r="F23" s="9" t="n"/>
      <c r="G23" s="9" t="n"/>
      <c r="H23" s="9" t="n"/>
      <c r="I23" s="8" t="n"/>
      <c r="J23" s="5">
        <f>(D23-C23+F23-E23+H23-G23)*24</f>
        <v/>
      </c>
      <c r="K23" s="35" t="n"/>
    </row>
    <row r="24">
      <c r="A24" s="13">
        <f>IF(A23&gt;=$D$4,0,IF(A23=0,0,1+A23))</f>
        <v/>
      </c>
      <c r="B24" s="62">
        <f>IF(A24=0,0,MID("DOMSegTerQuaQuiSexSAB",3*WEEKDAY(A24)-2,3))</f>
        <v/>
      </c>
      <c r="C24" s="8" t="n"/>
      <c r="D24" s="8" t="n"/>
      <c r="E24" s="9" t="n"/>
      <c r="F24" s="9" t="n"/>
      <c r="G24" s="9" t="n"/>
      <c r="H24" s="9" t="n"/>
      <c r="I24" s="8" t="n"/>
      <c r="J24" s="5">
        <f>(D24-C24+F24-E24+H24-G24)*24</f>
        <v/>
      </c>
      <c r="K24" s="35" t="n"/>
    </row>
    <row r="25">
      <c r="A25" s="13">
        <f>IF(A24&gt;=$D$4,0,IF(A24=0,0,1+A24))</f>
        <v/>
      </c>
      <c r="B25" s="62">
        <f>IF(A25=0,0,MID("DOMSegTerQuaQuiSexSAB",3*WEEKDAY(A25)-2,3))</f>
        <v/>
      </c>
      <c r="C25" s="8" t="n"/>
      <c r="D25" s="8" t="n"/>
      <c r="E25" s="9" t="n"/>
      <c r="F25" s="9" t="n"/>
      <c r="G25" s="9" t="n"/>
      <c r="H25" s="9" t="n"/>
      <c r="I25" s="8" t="n"/>
      <c r="J25" s="5">
        <f>(D25-C25+F25-E25+H25-G25)*24</f>
        <v/>
      </c>
      <c r="K25" s="35" t="n"/>
    </row>
    <row r="26">
      <c r="A26" s="7">
        <f>IF(A25&gt;=$D$4,0,IF(A25=0,0,1+A25))</f>
        <v/>
      </c>
      <c r="B26" s="62">
        <f>IF(A26=0,0,MID("DOMSegTerQuaQuiSexSAB",3*WEEKDAY(A26)-2,3))</f>
        <v/>
      </c>
      <c r="C26" s="8" t="n"/>
      <c r="D26" s="8" t="n"/>
      <c r="E26" s="9" t="n"/>
      <c r="F26" s="9" t="n"/>
      <c r="G26" s="9" t="n"/>
      <c r="H26" s="9" t="n"/>
      <c r="I26" s="8" t="n"/>
      <c r="J26" s="5">
        <f>(D26-C26+F26-E26+H26-G26)*24</f>
        <v/>
      </c>
      <c r="K26" s="35" t="n"/>
    </row>
    <row r="27">
      <c r="A27" s="7">
        <f>IF(A26&gt;=$D$4,0,IF(A26=0,0,1+A26))</f>
        <v/>
      </c>
      <c r="B27" s="33">
        <f>IF(A27=0,0,MID("DOMSegTerQuaQuiSexSAB",3*WEEKDAY(A27)-2,3))</f>
        <v/>
      </c>
      <c r="C27" s="8" t="n"/>
      <c r="D27" s="8" t="n"/>
      <c r="E27" s="9" t="n"/>
      <c r="F27" s="9" t="n"/>
      <c r="G27" s="14" t="n"/>
      <c r="H27" s="9" t="n"/>
      <c r="I27" s="8" t="n"/>
      <c r="J27" s="5">
        <f>(D27-C27+F27-E27+H27-G27)*24</f>
        <v/>
      </c>
      <c r="K27" s="35" t="n"/>
    </row>
    <row r="28">
      <c r="A28" s="7">
        <f>IF(A27&gt;=$D$4,0,IF(A27=0,0,1+A27))</f>
        <v/>
      </c>
      <c r="B28" s="62">
        <f>IF(A28=0,0,MID("DOMSegTerQuaQuiSexSAB",3*WEEKDAY(A28)-2,3))</f>
        <v/>
      </c>
      <c r="C28" s="8" t="n"/>
      <c r="D28" s="8" t="n"/>
      <c r="E28" s="9" t="n"/>
      <c r="F28" s="9" t="n"/>
      <c r="G28" s="9" t="n"/>
      <c r="H28" s="9" t="n"/>
      <c r="I28" s="8" t="n"/>
      <c r="J28" s="5">
        <f>(D28-C28+F28-E28+H28-G28)*24</f>
        <v/>
      </c>
      <c r="K28" s="35" t="n"/>
    </row>
    <row r="29">
      <c r="A29" s="7">
        <f>IF(A28&gt;=$D$4,0,IF(A28=0,0,1+A28))</f>
        <v/>
      </c>
      <c r="B29" s="62">
        <f>IF(A29=0,0,MID("DOMSegTerQuaQuiSexSAB",3*WEEKDAY(A29)-2,3))</f>
        <v/>
      </c>
      <c r="C29" s="8" t="n"/>
      <c r="D29" s="8" t="n"/>
      <c r="E29" s="9" t="n"/>
      <c r="F29" s="9" t="n"/>
      <c r="G29" s="9" t="n"/>
      <c r="H29" s="9" t="n"/>
      <c r="I29" s="8" t="n"/>
      <c r="J29" s="5">
        <f>(D29-C29+F29-E29+H29-G29)*24</f>
        <v/>
      </c>
      <c r="K29" s="35" t="n"/>
    </row>
    <row r="30">
      <c r="A30" s="7">
        <f>IF(A29&gt;=$D$4,0,IF(A29=0,0,1+A29))</f>
        <v/>
      </c>
      <c r="B30" s="62">
        <f>IF(A30=0,0,MID("DOMSegTerQuaQuiSexSAB",3*WEEKDAY(A30)-2,3))</f>
        <v/>
      </c>
      <c r="C30" s="8" t="n"/>
      <c r="D30" s="8" t="n"/>
      <c r="E30" s="9" t="n"/>
      <c r="F30" s="9" t="n"/>
      <c r="G30" s="9" t="n"/>
      <c r="H30" s="9" t="n"/>
      <c r="I30" s="8" t="n"/>
      <c r="J30" s="5">
        <f>(D30-C30+F30-E30+H30-G30)*24</f>
        <v/>
      </c>
      <c r="K30" s="35" t="n"/>
    </row>
    <row r="31">
      <c r="A31" s="7">
        <f>IF(A30&gt;=$D$4,0,IF(A30=0,0,1+A30))</f>
        <v/>
      </c>
      <c r="B31" s="62">
        <f>IF(A31=0,0,MID("DOMSegTerQuaQuiSexSAB",3*WEEKDAY(A31)-2,3))</f>
        <v/>
      </c>
      <c r="C31" s="8" t="n"/>
      <c r="D31" s="8" t="n"/>
      <c r="E31" s="9" t="n"/>
      <c r="F31" s="9" t="n"/>
      <c r="G31" s="9" t="n"/>
      <c r="H31" s="9" t="n"/>
      <c r="I31" s="8" t="n"/>
      <c r="J31" s="5">
        <f>(D31-C31+F31-E31+H31-G31)*24</f>
        <v/>
      </c>
      <c r="K31" s="35" t="n"/>
    </row>
    <row r="32">
      <c r="A32" s="7">
        <f>IF(A31&gt;=$D$4,0,IF(A31=0,0,1+A31))</f>
        <v/>
      </c>
      <c r="B32" s="33">
        <f>IF(A32=0,0,MID("DOMSegTerQuaQuiSexSAB",3*WEEKDAY(A32)-2,3))</f>
        <v/>
      </c>
      <c r="C32" s="8" t="n"/>
      <c r="D32" s="8" t="n"/>
      <c r="E32" s="9" t="n"/>
      <c r="F32" s="9" t="n"/>
      <c r="G32" s="9" t="n"/>
      <c r="H32" s="9" t="n"/>
      <c r="I32" s="8" t="n"/>
      <c r="J32" s="5">
        <f>(D32-C32+F32-E32+H32-G32)*24</f>
        <v/>
      </c>
      <c r="K32" s="35" t="n"/>
    </row>
    <row r="33">
      <c r="A33" s="7">
        <f>IF(A32&gt;=$D$4,0,IF(A32=0,0,1+A32))</f>
        <v/>
      </c>
      <c r="B33" s="62">
        <f>IF(A33=0,0,MID("DOMSegTerQuaQuiSexSAB",3*WEEKDAY(A33)-2,3))</f>
        <v/>
      </c>
      <c r="C33" s="8" t="n"/>
      <c r="D33" s="8" t="n"/>
      <c r="E33" s="9" t="n"/>
      <c r="F33" s="9" t="n"/>
      <c r="G33" s="9" t="n"/>
      <c r="H33" s="9" t="n"/>
      <c r="I33" s="8" t="n"/>
      <c r="J33" s="5">
        <f>(D33-C33+F33-E33+H33-G33)*24</f>
        <v/>
      </c>
      <c r="K33" s="35" t="n"/>
    </row>
    <row r="34">
      <c r="A34" s="7">
        <f>IF(A33&gt;=$D$4,0,IF(A33=0,0,1+A33))</f>
        <v/>
      </c>
      <c r="B34" s="62">
        <f>IF(A34=0,0,MID("DOMSegTerQuaQuiSexSAB",3*WEEKDAY(A34)-2,3))</f>
        <v/>
      </c>
      <c r="C34" s="8" t="n"/>
      <c r="D34" s="8" t="n"/>
      <c r="E34" s="9" t="n"/>
      <c r="F34" s="9" t="n"/>
      <c r="G34" s="9" t="n"/>
      <c r="H34" s="9" t="n"/>
      <c r="I34" s="8" t="n"/>
      <c r="J34" s="5">
        <f>(D34-C34+F34-E34+H34-G34)*24</f>
        <v/>
      </c>
      <c r="K34" s="35" t="n"/>
    </row>
    <row r="35">
      <c r="A35" s="7">
        <f>IF(A34&gt;=$D$4,0,IF(A34=0,0,1+A34))</f>
        <v/>
      </c>
      <c r="B35" s="62">
        <f>IF(A35=0,0,MID("DOMSegTerQuaQuiSexSAB",3*WEEKDAY(A35)-2,3))</f>
        <v/>
      </c>
      <c r="C35" s="8" t="n"/>
      <c r="D35" s="8" t="n"/>
      <c r="E35" s="9" t="n"/>
      <c r="F35" s="9" t="n"/>
      <c r="G35" s="9" t="n"/>
      <c r="H35" s="9" t="n"/>
      <c r="I35" s="8" t="n"/>
      <c r="J35" s="5">
        <f>(D35-C35+F35-E35+H35-G35)*24</f>
        <v/>
      </c>
      <c r="K35" s="35" t="n"/>
    </row>
    <row r="36">
      <c r="A36" s="7">
        <f>IF(A35&gt;=$D$4,0,IF(A35=0,0,1+A35))</f>
        <v/>
      </c>
      <c r="B36" s="62">
        <f>IF(A36=0,0,MID("DOMSegTerQuaQuiSexSAB",3*WEEKDAY(A36)-2,3))</f>
        <v/>
      </c>
      <c r="C36" s="8" t="n"/>
      <c r="D36" s="8" t="n"/>
      <c r="E36" s="9" t="n"/>
      <c r="F36" s="9" t="n"/>
      <c r="G36" s="9" t="n"/>
      <c r="H36" s="9" t="n"/>
      <c r="I36" s="8" t="n"/>
      <c r="J36" s="5">
        <f>(D36-C36+F36-E36+H36-G36)*24</f>
        <v/>
      </c>
      <c r="K36" s="35" t="n"/>
    </row>
    <row r="37">
      <c r="A37" s="7">
        <f>IF(A36&gt;=$D$4,0,IF(A36=0,0,1+A36))</f>
        <v/>
      </c>
      <c r="B37" s="62">
        <f>IF(A37=0,0,MID("DOMSegTerQuaQuiSexSAB",3*WEEKDAY(A37)-2,3))</f>
        <v/>
      </c>
      <c r="C37" s="8" t="n"/>
      <c r="D37" s="8" t="n"/>
      <c r="E37" s="9" t="n"/>
      <c r="F37" s="9" t="n"/>
      <c r="G37" s="9" t="n"/>
      <c r="H37" s="9" t="n"/>
      <c r="I37" s="8" t="n"/>
      <c r="J37" s="5">
        <f>(D37-C37+F37-E37+H37-G37)*24</f>
        <v/>
      </c>
      <c r="K37" s="35" t="n"/>
    </row>
    <row r="38">
      <c r="A38" s="7">
        <f>IF(A37&gt;=$D$4,0,IF(A37=0,0,1+A37))</f>
        <v/>
      </c>
      <c r="B38" s="62">
        <f>IF(A38=0,0,MID("DOMSegTerQuaQuiSexSAB",3*WEEKDAY(A38)-2,3))</f>
        <v/>
      </c>
      <c r="C38" s="8" t="n"/>
      <c r="D38" s="8" t="n"/>
      <c r="E38" s="9" t="n"/>
      <c r="F38" s="9" t="n"/>
      <c r="G38" s="9" t="n"/>
      <c r="H38" s="9" t="n"/>
      <c r="I38" s="8" t="n"/>
      <c r="J38" s="5">
        <f>(D38-C38+F38-E38+H38-G38)*24</f>
        <v/>
      </c>
      <c r="K38" s="35" t="n"/>
    </row>
    <row r="39">
      <c r="A39" s="7">
        <f>IF(A38&gt;=$D$4,0,IF(A38=0,0,1+A38))</f>
        <v/>
      </c>
      <c r="B39" s="62">
        <f>IF(A39=0,0,MID("DOMSegTerQuaQuiSexSAB",3*WEEKDAY(A39)-2,3))</f>
        <v/>
      </c>
      <c r="C39" s="8" t="n"/>
      <c r="D39" s="8" t="n"/>
      <c r="E39" s="9" t="n"/>
      <c r="F39" s="9" t="n"/>
      <c r="G39" s="9" t="n"/>
      <c r="H39" s="9" t="n"/>
      <c r="I39" s="8" t="n"/>
      <c r="J39" s="5">
        <f>(D39-C39+F39-E39+H39-G39)*24</f>
        <v/>
      </c>
      <c r="K39" s="35" t="n"/>
    </row>
    <row r="40">
      <c r="A40" s="7">
        <f>IF(A39&gt;=$D$4,0,IF(A39=0,0,1+A39))</f>
        <v/>
      </c>
      <c r="B40" s="62">
        <f>IF(A40=0,0,MID("DOMSegTerQuaQuiSexSAB",3*WEEKDAY(A40)-2,3))</f>
        <v/>
      </c>
      <c r="C40" s="8" t="n"/>
      <c r="D40" s="8" t="n"/>
      <c r="E40" s="9" t="n"/>
      <c r="F40" s="9" t="n"/>
      <c r="G40" s="9" t="n"/>
      <c r="H40" s="9" t="n"/>
      <c r="I40" s="8" t="n"/>
      <c r="J40" s="5">
        <f>(D40-C40+F40-E40+H40-G40)*24</f>
        <v/>
      </c>
      <c r="K40" s="35" t="n"/>
    </row>
    <row r="41">
      <c r="A41" s="7">
        <f>IF(A40&gt;=$D$4,0,IF(A40=0,0,1+A40))</f>
        <v/>
      </c>
      <c r="B41" s="62">
        <f>IF(A41=0,0,MID("DOMSegTerQuaQuiSexSAB",3*WEEKDAY(A41)-2,3))</f>
        <v/>
      </c>
      <c r="C41" s="8" t="n"/>
      <c r="D41" s="8" t="n"/>
      <c r="E41" s="9" t="n"/>
      <c r="F41" s="9" t="n"/>
      <c r="G41" s="9" t="n"/>
      <c r="H41" s="9" t="n"/>
      <c r="I41" s="8" t="n"/>
      <c r="J41" s="5">
        <f>(D41-C41+F41-E41+H41-G41)*24</f>
        <v/>
      </c>
      <c r="K41" s="35" t="n"/>
    </row>
    <row r="42" ht="13" customHeight="1" thickBot="1">
      <c r="A42" s="7">
        <f>IF(A41&gt;=$D$4,0,IF(A41=0,0,1+A41))</f>
        <v/>
      </c>
      <c r="B42" s="62">
        <f>IF(A42=0,0,MID("DOMSegTerQuaQuiSexSAB",3*WEEKDAY(A42)-2,3))</f>
        <v/>
      </c>
      <c r="C42" s="8" t="n"/>
      <c r="D42" s="8" t="n"/>
      <c r="E42" s="9" t="n"/>
      <c r="F42" s="9" t="n"/>
      <c r="G42" s="9" t="n"/>
      <c r="H42" s="9" t="n"/>
      <c r="I42" s="8" t="n"/>
      <c r="J42" s="5">
        <f>(D42-C42+F42-E42+H42-G42)*24</f>
        <v/>
      </c>
      <c r="K42" s="35" t="n"/>
    </row>
    <row r="43" ht="15" customHeight="1" thickBot="1">
      <c r="C43" s="15" t="n"/>
      <c r="D43" s="15" t="n"/>
      <c r="E43" s="15" t="n"/>
      <c r="F43" s="15" t="n"/>
      <c r="G43" s="15" t="n"/>
      <c r="H43" s="15" t="n"/>
      <c r="I43" s="15" t="n"/>
      <c r="J43" s="18">
        <f>SUM(J$13:J$42)</f>
        <v/>
      </c>
    </row>
    <row r="44" ht="13.25" customHeight="1">
      <c r="C44" s="15" t="n"/>
      <c r="D44" s="15" t="n"/>
      <c r="E44" s="15" t="n"/>
      <c r="F44" s="15" t="n"/>
      <c r="G44" s="15" t="n"/>
      <c r="H44" s="15" t="n"/>
      <c r="I44" s="15" t="n"/>
    </row>
  </sheetData>
  <mergeCells count="8">
    <mergeCell ref="C4:C5"/>
    <mergeCell ref="D5:E5"/>
    <mergeCell ref="H5:I5"/>
    <mergeCell ref="D4:E4"/>
    <mergeCell ref="H4:I4"/>
    <mergeCell ref="B8:F8"/>
    <mergeCell ref="A1:K2"/>
    <mergeCell ref="A12:B12"/>
  </mergeCells>
  <conditionalFormatting sqref="B13:B42">
    <cfRule type="containsText" priority="1" operator="containsText" dxfId="2" text="DOM">
      <formula>NOT(ISERROR(SEARCH("DOM",B13)))</formula>
    </cfRule>
    <cfRule type="containsText" priority="2" operator="containsText" dxfId="2" text="SAB">
      <formula>NOT(ISERROR(SEARCH("SAB",B13)))</formula>
    </cfRule>
  </conditionalFormatting>
  <conditionalFormatting sqref="G13:I42">
    <cfRule type="expression" priority="8" dxfId="0" stopIfTrue="1">
      <formula>AND(#REF!=0,0=#REF!)</formula>
    </cfRule>
  </conditionalFormatting>
  <conditionalFormatting sqref="K13:K42">
    <cfRule type="expression" priority="3" dxfId="0" stopIfTrue="1">
      <formula>AND(#REF!=0,0=#REF!)</formula>
    </cfRule>
  </conditionalFormatting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N39" sqref="N39"/>
    </sheetView>
  </sheetViews>
  <sheetFormatPr baseColWidth="10" defaultColWidth="9.796875" defaultRowHeight="12"/>
  <cols>
    <col width="9.796875" customWidth="1" style="4" min="1" max="9"/>
    <col width="12.19921875" customWidth="1" style="2" min="10" max="10"/>
    <col width="21" customWidth="1" style="4" min="11" max="11"/>
    <col width="9.796875" customWidth="1" style="4" min="12" max="16384"/>
  </cols>
  <sheetData>
    <row r="1" ht="12.75" customHeight="1">
      <c r="A1" s="75" t="inlineStr">
        <is>
          <t>HORAS DE SERVIÇO</t>
        </is>
      </c>
    </row>
    <row r="2" ht="11.25" customHeight="1"/>
    <row r="3" ht="13" customHeight="1" thickBot="1"/>
    <row r="4" ht="13.5" customHeight="1" thickBot="1">
      <c r="A4" s="1" t="inlineStr">
        <is>
          <t>Período:</t>
        </is>
      </c>
      <c r="B4" s="89" t="n">
        <v>45992</v>
      </c>
      <c r="C4" s="72" t="inlineStr">
        <is>
          <t>a</t>
        </is>
      </c>
      <c r="D4" s="90" t="n">
        <v>46022</v>
      </c>
      <c r="E4" s="91" t="n"/>
      <c r="H4" s="32" t="inlineStr">
        <is>
          <t>Total de horas úteis</t>
        </is>
      </c>
      <c r="I4" s="92" t="n"/>
      <c r="J4" s="32" t="inlineStr">
        <is>
          <t>Saldo</t>
        </is>
      </c>
    </row>
    <row r="5" ht="13.5" customHeight="1" thickBot="1">
      <c r="B5" s="93">
        <f>B4</f>
        <v/>
      </c>
      <c r="C5" s="94" t="n"/>
      <c r="D5" s="95">
        <f>D4</f>
        <v/>
      </c>
      <c r="E5" s="96" t="n"/>
      <c r="H5" s="97">
        <f>22*8</f>
        <v/>
      </c>
      <c r="I5" s="92" t="n"/>
      <c r="J5" s="31">
        <f>J44-H5</f>
        <v/>
      </c>
    </row>
    <row r="6">
      <c r="C6" s="6" t="n"/>
      <c r="E6" s="6" t="n"/>
      <c r="H6" s="28" t="n"/>
      <c r="I6" s="29" t="n"/>
      <c r="J6" s="29" t="n"/>
      <c r="K6" s="30" t="n"/>
    </row>
    <row r="7">
      <c r="C7" s="6" t="n"/>
      <c r="E7" s="6" t="n"/>
      <c r="G7" s="25" t="n"/>
      <c r="H7" s="2" t="n"/>
      <c r="I7" s="2" t="n"/>
      <c r="J7" s="26" t="n"/>
    </row>
    <row r="8" ht="18.75" customHeight="1">
      <c r="A8" s="27" t="inlineStr">
        <is>
          <t xml:space="preserve">Nome:  </t>
        </is>
      </c>
      <c r="B8" s="38">
        <f>'Novembro - 2025'!B8</f>
        <v/>
      </c>
      <c r="C8" s="39" t="n"/>
      <c r="D8" s="39" t="n"/>
      <c r="E8" s="39" t="n"/>
      <c r="F8" s="40" t="n"/>
      <c r="G8" s="3" t="n"/>
      <c r="H8" s="3" t="n"/>
      <c r="I8" s="3" t="n"/>
      <c r="J8" s="3" t="n"/>
    </row>
    <row r="9" ht="16.5" customHeight="1">
      <c r="A9" s="27" t="inlineStr">
        <is>
          <t xml:space="preserve">Projeto: </t>
        </is>
      </c>
      <c r="B9" s="57">
        <f>'Novembro - 2025'!B9</f>
        <v/>
      </c>
      <c r="C9" s="58" t="n"/>
      <c r="D9" s="58" t="n"/>
      <c r="E9" s="58" t="n"/>
      <c r="F9" s="59" t="n"/>
      <c r="G9" s="3" t="n"/>
      <c r="H9" s="3" t="n"/>
      <c r="I9" s="3" t="n"/>
      <c r="J9" s="3" t="n"/>
    </row>
    <row r="10">
      <c r="A10" s="1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4" t="n"/>
    </row>
    <row r="11" ht="15" customHeight="1"/>
    <row r="12" ht="18.75" customHeight="1">
      <c r="A12" s="71" t="inlineStr">
        <is>
          <t>Dia</t>
        </is>
      </c>
      <c r="B12" s="98" t="n"/>
      <c r="C12" s="71" t="inlineStr">
        <is>
          <t>Entr.</t>
        </is>
      </c>
      <c r="D12" s="21" t="inlineStr">
        <is>
          <t>Saída</t>
        </is>
      </c>
      <c r="E12" s="22" t="inlineStr">
        <is>
          <t>Entr.</t>
        </is>
      </c>
      <c r="F12" s="23" t="inlineStr">
        <is>
          <t>Saída</t>
        </is>
      </c>
      <c r="G12" s="71" t="inlineStr">
        <is>
          <t>Entr.</t>
        </is>
      </c>
      <c r="H12" s="21" t="inlineStr">
        <is>
          <t>Saída</t>
        </is>
      </c>
      <c r="I12" s="70" t="n"/>
      <c r="J12" s="24" t="inlineStr">
        <is>
          <t>Geral</t>
        </is>
      </c>
      <c r="K12" s="24" t="inlineStr">
        <is>
          <t>Observações</t>
        </is>
      </c>
      <c r="L12" s="3" t="n"/>
      <c r="M12" s="3" t="n"/>
    </row>
    <row r="13">
      <c r="A13" s="20">
        <f>B4</f>
        <v/>
      </c>
      <c r="B13" s="61">
        <f>IF(A13=0,0,MID("DOMSegTerQuaQuiSexSAB",3*WEEKDAY(A13)-2,3))</f>
        <v/>
      </c>
      <c r="C13" s="8" t="n"/>
      <c r="D13" s="8" t="n"/>
      <c r="E13" s="9" t="n"/>
      <c r="F13" s="9" t="n"/>
      <c r="G13" s="9" t="n"/>
      <c r="H13" s="9" t="n"/>
      <c r="I13" s="8" t="n"/>
      <c r="J13" s="5">
        <f>(D13-C13+F13-E13+H13-G13)*24</f>
        <v/>
      </c>
      <c r="K13" s="35" t="n"/>
    </row>
    <row r="14">
      <c r="A14" s="7">
        <f>IF(A13&gt;=$D$4,0,IF(A13=0,0,1+A13))</f>
        <v/>
      </c>
      <c r="B14" s="62">
        <f>IF(A14=0,0,MID("DOMSegTerQuaQuiSexSAB",3*WEEKDAY(A14)-2,3))</f>
        <v/>
      </c>
      <c r="C14" s="8" t="n"/>
      <c r="D14" s="8" t="n"/>
      <c r="E14" s="9" t="n"/>
      <c r="F14" s="9" t="n"/>
      <c r="G14" s="9" t="n"/>
      <c r="H14" s="9" t="n"/>
      <c r="I14" s="8" t="n"/>
      <c r="J14" s="5">
        <f>(D14-C14+F14-E14+H14-G14)*24</f>
        <v/>
      </c>
      <c r="K14" s="35" t="n"/>
      <c r="L14" s="2" t="n"/>
      <c r="M14" s="105" t="n"/>
    </row>
    <row r="15">
      <c r="A15" s="7">
        <f>IF(A14&gt;=$D$4,0,IF(A14=0,0,1+A14))</f>
        <v/>
      </c>
      <c r="B15" s="62">
        <f>IF(A15=0,0,MID("DOMSegTerQuaQuiSexSAB",3*WEEKDAY(A15)-2,3))</f>
        <v/>
      </c>
      <c r="C15" s="8" t="n"/>
      <c r="D15" s="8" t="n"/>
      <c r="E15" s="9" t="n"/>
      <c r="F15" s="9" t="n"/>
      <c r="G15" s="9" t="n"/>
      <c r="H15" s="9" t="n"/>
      <c r="I15" s="8" t="n"/>
      <c r="J15" s="5">
        <f>(D15-C15+F15-E15+H15-G15)*24</f>
        <v/>
      </c>
      <c r="K15" s="35" t="n"/>
      <c r="L15" s="2" t="n"/>
      <c r="M15" s="105" t="n"/>
    </row>
    <row r="16">
      <c r="A16" s="7">
        <f>IF(A15&gt;=$D$4,0,IF(A15=0,0,1+A15))</f>
        <v/>
      </c>
      <c r="B16" s="62">
        <f>IF(A16=0,0,MID("DOMSegTerQuaQuiSexSAB",3*WEEKDAY(A16)-2,3))</f>
        <v/>
      </c>
      <c r="C16" s="8" t="n"/>
      <c r="D16" s="8" t="n"/>
      <c r="E16" s="9" t="n"/>
      <c r="F16" s="9" t="n"/>
      <c r="G16" s="9" t="n"/>
      <c r="H16" s="9" t="n"/>
      <c r="I16" s="8" t="n"/>
      <c r="J16" s="5">
        <f>(D16-C16+F16-E16+H16-G16)*24</f>
        <v/>
      </c>
      <c r="K16" s="35" t="n"/>
      <c r="L16" s="2" t="n"/>
      <c r="M16" s="105" t="n"/>
    </row>
    <row r="17">
      <c r="A17" s="7">
        <f>IF(A16&gt;=$D$4,0,IF(A16=0,0,1+A16))</f>
        <v/>
      </c>
      <c r="B17" s="62">
        <f>IF(A17=0,0,MID("DOMSegTerQuaQuiSexSAB",3*WEEKDAY(A17)-2,3))</f>
        <v/>
      </c>
      <c r="C17" s="8" t="n"/>
      <c r="D17" s="8" t="n"/>
      <c r="E17" s="9" t="n"/>
      <c r="F17" s="9" t="n"/>
      <c r="G17" s="9" t="n"/>
      <c r="H17" s="9" t="n"/>
      <c r="I17" s="8" t="n"/>
      <c r="J17" s="5">
        <f>(D17-C17+F17-E17+H17-G17)*24</f>
        <v/>
      </c>
      <c r="K17" s="35" t="n"/>
      <c r="L17" s="2" t="n"/>
      <c r="M17" s="105" t="n"/>
    </row>
    <row r="18">
      <c r="A18" s="7">
        <f>IF(A17&gt;=$D$4,0,IF(A17=0,0,1+A17))</f>
        <v/>
      </c>
      <c r="B18" s="62">
        <f>IF(A18=0,0,MID("DOMSegTerQuaQuiSexSAB",3*WEEKDAY(A18)-2,3))</f>
        <v/>
      </c>
      <c r="C18" s="8" t="n"/>
      <c r="D18" s="8" t="n"/>
      <c r="E18" s="9" t="n"/>
      <c r="F18" s="9" t="n"/>
      <c r="G18" s="9" t="n"/>
      <c r="H18" s="9" t="n"/>
      <c r="I18" s="8" t="n"/>
      <c r="J18" s="5">
        <f>(D18-C18+F18-E18+H18-G18)*24</f>
        <v/>
      </c>
      <c r="K18" s="35" t="n"/>
      <c r="L18" s="2" t="n"/>
      <c r="M18" s="105" t="n"/>
    </row>
    <row r="19">
      <c r="A19" s="7">
        <f>IF(A18&gt;=$D$4,0,IF(A18=0,0,1+A18))</f>
        <v/>
      </c>
      <c r="B19" s="62">
        <f>IF(A19=0,0,MID("DOMSegTerQuaQuiSexSAB",3*WEEKDAY(A19)-2,3))</f>
        <v/>
      </c>
      <c r="C19" s="11" t="n"/>
      <c r="D19" s="11" t="n"/>
      <c r="E19" s="12" t="n"/>
      <c r="F19" s="12" t="n"/>
      <c r="G19" s="12" t="n"/>
      <c r="H19" s="12" t="n"/>
      <c r="I19" s="11" t="n"/>
      <c r="J19" s="5">
        <f>(D19-C19+F19-E19+H19-G19)*24</f>
        <v/>
      </c>
      <c r="K19" s="36" t="n"/>
    </row>
    <row r="20">
      <c r="A20" s="7">
        <f>IF(A19&gt;=$D$4,0,IF(A19=0,0,1+A19))</f>
        <v/>
      </c>
      <c r="B20" s="62">
        <f>IF(A20=0,0,MID("DOMSegTerQuaQuiSexSAB",3*WEEKDAY(A20)-2,3))</f>
        <v/>
      </c>
      <c r="C20" s="8" t="n"/>
      <c r="D20" s="8" t="n"/>
      <c r="E20" s="9" t="n"/>
      <c r="F20" s="9" t="n"/>
      <c r="G20" s="9" t="n"/>
      <c r="H20" s="9" t="n"/>
      <c r="I20" s="8" t="n"/>
      <c r="J20" s="5">
        <f>(D20-C20+F20-E20+H20-G20)*24</f>
        <v/>
      </c>
      <c r="K20" s="35" t="n"/>
    </row>
    <row r="21">
      <c r="A21" s="7">
        <f>IF(A20&gt;=$D$4,0,IF(A20=0,0,1+A20))</f>
        <v/>
      </c>
      <c r="B21" s="62">
        <f>IF(A21=0,0,MID("DOMSegTerQuaQuiSexSAB",3*WEEKDAY(A21)-2,3))</f>
        <v/>
      </c>
      <c r="C21" s="8" t="n"/>
      <c r="D21" s="8" t="n"/>
      <c r="E21" s="9" t="n"/>
      <c r="F21" s="9" t="n"/>
      <c r="G21" s="9" t="n"/>
      <c r="H21" s="9" t="n"/>
      <c r="I21" s="8" t="n"/>
      <c r="J21" s="5">
        <f>(D21-C21+F21-E21+H21-G21)*24</f>
        <v/>
      </c>
      <c r="K21" s="35" t="n"/>
    </row>
    <row r="22">
      <c r="A22" s="7">
        <f>IF(A21&gt;=$D$4,0,IF(A21=0,0,1+A21))</f>
        <v/>
      </c>
      <c r="B22" s="62">
        <f>IF(A22=0,0,MID("DOMSegTerQuaQuiSexSAB",3*WEEKDAY(A22)-2,3))</f>
        <v/>
      </c>
      <c r="C22" s="8" t="n"/>
      <c r="D22" s="8" t="n"/>
      <c r="E22" s="9" t="n"/>
      <c r="F22" s="9" t="n"/>
      <c r="G22" s="9" t="n"/>
      <c r="H22" s="9" t="n"/>
      <c r="I22" s="8" t="n"/>
      <c r="J22" s="5">
        <f>(D22-C22+F22-E22+H22-G22)*24</f>
        <v/>
      </c>
      <c r="K22" s="35" t="n"/>
    </row>
    <row r="23">
      <c r="A23" s="7">
        <f>IF(A22&gt;=$D$4,0,IF(A22=0,0,1+A22))</f>
        <v/>
      </c>
      <c r="B23" s="62">
        <f>IF(A23=0,0,MID("DOMSegTerQuaQuiSexSAB",3*WEEKDAY(A23)-2,3))</f>
        <v/>
      </c>
      <c r="C23" s="8" t="n"/>
      <c r="D23" s="8" t="n"/>
      <c r="E23" s="9" t="n"/>
      <c r="F23" s="9" t="n"/>
      <c r="G23" s="9" t="n"/>
      <c r="H23" s="9" t="n"/>
      <c r="I23" s="8" t="n"/>
      <c r="J23" s="5">
        <f>(D23-C23+F23-E23+H23-G23)*24</f>
        <v/>
      </c>
      <c r="K23" s="35" t="n"/>
    </row>
    <row r="24">
      <c r="A24" s="13">
        <f>IF(A23&gt;=$D$4,0,IF(A23=0,0,1+A23))</f>
        <v/>
      </c>
      <c r="B24" s="63">
        <f>IF(A24=0,0,MID("DOMSegTerQuaQuiSexSAB",3*WEEKDAY(A24)-2,3))</f>
        <v/>
      </c>
      <c r="C24" s="8" t="n"/>
      <c r="D24" s="8" t="n"/>
      <c r="E24" s="9" t="n"/>
      <c r="F24" s="9" t="n"/>
      <c r="G24" s="9" t="n"/>
      <c r="H24" s="9" t="n"/>
      <c r="I24" s="8" t="n"/>
      <c r="J24" s="5">
        <f>(D24-C24+F24-E24+H24-G24)*24</f>
        <v/>
      </c>
      <c r="K24" s="35" t="n"/>
    </row>
    <row r="25">
      <c r="A25" s="13">
        <f>IF(A24&gt;=$D$4,0,IF(A24=0,0,1+A24))</f>
        <v/>
      </c>
      <c r="B25" s="63">
        <f>IF(A25=0,0,MID("DOMSegTerQuaQuiSexSAB",3*WEEKDAY(A25)-2,3))</f>
        <v/>
      </c>
      <c r="C25" s="8" t="n"/>
      <c r="D25" s="8" t="n"/>
      <c r="E25" s="9" t="n"/>
      <c r="F25" s="9" t="n"/>
      <c r="G25" s="9" t="n"/>
      <c r="H25" s="9" t="n"/>
      <c r="I25" s="8" t="n"/>
      <c r="J25" s="5">
        <f>(D25-C25+F25-E25+H25-G25)*24</f>
        <v/>
      </c>
      <c r="K25" s="35" t="n"/>
    </row>
    <row r="26">
      <c r="A26" s="7">
        <f>IF(A25&gt;=$D$4,0,IF(A25=0,0,1+A25))</f>
        <v/>
      </c>
      <c r="B26" s="62">
        <f>IF(A26=0,0,MID("DOMSegTerQuaQuiSexSAB",3*WEEKDAY(A26)-2,3))</f>
        <v/>
      </c>
      <c r="C26" s="8" t="n"/>
      <c r="D26" s="8" t="n"/>
      <c r="E26" s="9" t="n"/>
      <c r="F26" s="9" t="n"/>
      <c r="G26" s="9" t="n"/>
      <c r="H26" s="9" t="n"/>
      <c r="I26" s="8" t="n"/>
      <c r="J26" s="5">
        <f>(D26-C26+F26-E26+H26-G26)*24</f>
        <v/>
      </c>
      <c r="K26" s="35" t="n"/>
    </row>
    <row r="27">
      <c r="A27" s="7">
        <f>IF(A26&gt;=$D$4,0,IF(A26=0,0,1+A26))</f>
        <v/>
      </c>
      <c r="B27" s="62">
        <f>IF(A27=0,0,MID("DOMSegTerQuaQuiSexSAB",3*WEEKDAY(A27)-2,3))</f>
        <v/>
      </c>
      <c r="C27" s="8" t="n"/>
      <c r="D27" s="8" t="n"/>
      <c r="E27" s="9" t="n"/>
      <c r="F27" s="9" t="n"/>
      <c r="G27" s="14" t="n"/>
      <c r="H27" s="9" t="n"/>
      <c r="I27" s="8" t="n"/>
      <c r="J27" s="5">
        <f>(D27-C27+F27-E27+H27-G27)*24</f>
        <v/>
      </c>
      <c r="K27" s="37" t="n"/>
    </row>
    <row r="28">
      <c r="A28" s="7">
        <f>IF(A27&gt;=$D$4,0,IF(A27=0,0,1+A27))</f>
        <v/>
      </c>
      <c r="B28" s="62">
        <f>IF(A28=0,0,MID("DOMSegTerQuaQuiSexSAB",3*WEEKDAY(A28)-2,3))</f>
        <v/>
      </c>
      <c r="C28" s="8" t="n"/>
      <c r="D28" s="8" t="n"/>
      <c r="E28" s="9" t="n"/>
      <c r="F28" s="9" t="n"/>
      <c r="G28" s="9" t="n"/>
      <c r="H28" s="9" t="n"/>
      <c r="I28" s="8" t="n"/>
      <c r="J28" s="5">
        <f>(D28-C28+F28-E28+H28-G28)*24</f>
        <v/>
      </c>
      <c r="K28" s="35" t="n"/>
    </row>
    <row r="29">
      <c r="A29" s="7">
        <f>IF(A28&gt;=$D$4,0,IF(A28=0,0,1+A28))</f>
        <v/>
      </c>
      <c r="B29" s="62">
        <f>IF(A29=0,0,MID("DOMSegTerQuaQuiSexSAB",3*WEEKDAY(A29)-2,3))</f>
        <v/>
      </c>
      <c r="C29" s="8" t="n"/>
      <c r="D29" s="8" t="n"/>
      <c r="E29" s="9" t="n"/>
      <c r="F29" s="9" t="n"/>
      <c r="G29" s="9" t="n"/>
      <c r="H29" s="9" t="n"/>
      <c r="I29" s="8" t="n"/>
      <c r="J29" s="5">
        <f>(D29-C29+F29-E29+H29-G29)*24</f>
        <v/>
      </c>
      <c r="K29" s="35" t="n"/>
    </row>
    <row r="30">
      <c r="A30" s="7">
        <f>IF(A29&gt;=$D$4,0,IF(A29=0,0,1+A29))</f>
        <v/>
      </c>
      <c r="B30" s="62">
        <f>IF(A30=0,0,MID("DOMSegTerQuaQuiSexSAB",3*WEEKDAY(A30)-2,3))</f>
        <v/>
      </c>
      <c r="C30" s="8" t="n"/>
      <c r="D30" s="8" t="n"/>
      <c r="E30" s="9" t="n"/>
      <c r="F30" s="9" t="n"/>
      <c r="G30" s="9" t="n"/>
      <c r="H30" s="9" t="n"/>
      <c r="I30" s="8" t="n"/>
      <c r="J30" s="5">
        <f>(D30-C30+F30-E30+H30-G30)*24</f>
        <v/>
      </c>
      <c r="K30" s="35" t="n"/>
    </row>
    <row r="31">
      <c r="A31" s="7">
        <f>IF(A30&gt;=$D$4,0,IF(A30=0,0,1+A30))</f>
        <v/>
      </c>
      <c r="B31" s="62">
        <f>IF(A31=0,0,MID("DOMSegTerQuaQuiSexSAB",3*WEEKDAY(A31)-2,3))</f>
        <v/>
      </c>
      <c r="C31" s="8" t="n"/>
      <c r="D31" s="8" t="n"/>
      <c r="E31" s="9" t="n"/>
      <c r="F31" s="9" t="n"/>
      <c r="G31" s="9" t="n"/>
      <c r="H31" s="9" t="n"/>
      <c r="I31" s="8" t="n"/>
      <c r="J31" s="5">
        <f>(D31-C31+F31-E31+H31-G31)*24</f>
        <v/>
      </c>
      <c r="K31" s="35" t="n"/>
    </row>
    <row r="32">
      <c r="A32" s="7">
        <f>IF(A31&gt;=$D$4,0,IF(A31=0,0,1+A31))</f>
        <v/>
      </c>
      <c r="B32" s="62">
        <f>IF(A32=0,0,MID("DOMSegTerQuaQuiSexSAB",3*WEEKDAY(A32)-2,3))</f>
        <v/>
      </c>
      <c r="C32" s="8" t="n"/>
      <c r="D32" s="8" t="n"/>
      <c r="E32" s="9" t="n"/>
      <c r="F32" s="9" t="n"/>
      <c r="G32" s="9" t="n"/>
      <c r="H32" s="9" t="n"/>
      <c r="I32" s="8" t="n"/>
      <c r="J32" s="5">
        <f>(D32-C32+F32-E32+H32-G32)*24</f>
        <v/>
      </c>
      <c r="K32" s="35" t="n"/>
    </row>
    <row r="33">
      <c r="A33" s="7">
        <f>IF(A32&gt;=$D$4,0,IF(A32=0,0,1+A32))</f>
        <v/>
      </c>
      <c r="B33" s="62">
        <f>IF(A33=0,0,MID("DOMSegTerQuaQuiSexSAB",3*WEEKDAY(A33)-2,3))</f>
        <v/>
      </c>
      <c r="C33" s="8" t="n"/>
      <c r="D33" s="8" t="n"/>
      <c r="E33" s="9" t="n"/>
      <c r="F33" s="9" t="n"/>
      <c r="G33" s="9" t="n"/>
      <c r="H33" s="9" t="n"/>
      <c r="I33" s="8" t="n"/>
      <c r="J33" s="5">
        <f>(D33-C33+F33-E33+H33-G33)*24</f>
        <v/>
      </c>
      <c r="K33" s="35" t="n"/>
    </row>
    <row r="34">
      <c r="A34" s="7">
        <f>IF(A33&gt;=$D$4,0,IF(A33=0,0,1+A33))</f>
        <v/>
      </c>
      <c r="B34" s="62">
        <f>IF(A34=0,0,MID("DOMSegTerQuaQuiSexSAB",3*WEEKDAY(A34)-2,3))</f>
        <v/>
      </c>
      <c r="C34" s="8" t="n"/>
      <c r="D34" s="8" t="n"/>
      <c r="E34" s="9" t="n"/>
      <c r="F34" s="9" t="n"/>
      <c r="G34" s="9" t="n"/>
      <c r="H34" s="9" t="n"/>
      <c r="I34" s="8" t="n"/>
      <c r="J34" s="5">
        <f>(D34-C34+F34-E34+H34-G34)*24</f>
        <v/>
      </c>
      <c r="K34" s="35" t="n"/>
    </row>
    <row r="35">
      <c r="A35" s="7">
        <f>IF(A34&gt;=$D$4,0,IF(A34=0,0,1+A34))</f>
        <v/>
      </c>
      <c r="B35" s="62">
        <f>IF(A35=0,0,MID("DOMSegTerQuaQuiSexSAB",3*WEEKDAY(A35)-2,3))</f>
        <v/>
      </c>
      <c r="C35" s="8" t="n"/>
      <c r="D35" s="8" t="n"/>
      <c r="E35" s="9" t="n"/>
      <c r="F35" s="9" t="n"/>
      <c r="G35" s="9" t="n"/>
      <c r="H35" s="9" t="n"/>
      <c r="I35" s="8" t="n"/>
      <c r="J35" s="5">
        <f>(D35-C35+F35-E35+H35-G35)*24</f>
        <v/>
      </c>
      <c r="K35" s="35" t="n"/>
    </row>
    <row r="36">
      <c r="A36" s="7">
        <f>IF(A35&gt;=$D$4,0,IF(A35=0,0,1+A35))</f>
        <v/>
      </c>
      <c r="B36" s="62">
        <f>IF(A36=0,0,MID("DOMSegTerQuaQuiSexSAB",3*WEEKDAY(A36)-2,3))</f>
        <v/>
      </c>
      <c r="C36" s="8" t="n"/>
      <c r="D36" s="8" t="n"/>
      <c r="E36" s="9" t="n"/>
      <c r="F36" s="9" t="n"/>
      <c r="G36" s="9" t="n"/>
      <c r="H36" s="9" t="n"/>
      <c r="I36" s="8" t="n"/>
      <c r="J36" s="5">
        <f>(D36-C36+F36-E36+H36-G36)*24</f>
        <v/>
      </c>
      <c r="K36" s="35" t="n"/>
    </row>
    <row r="37">
      <c r="A37" s="7">
        <f>IF(A36&gt;=$D$4,0,IF(A36=0,0,1+A36))</f>
        <v/>
      </c>
      <c r="B37" s="33">
        <f>IF(A37=0,0,MID("DOMSegTerQuaQuiSexSAB",3*WEEKDAY(A37)-2,3))</f>
        <v/>
      </c>
      <c r="C37" s="8" t="n"/>
      <c r="D37" s="8" t="n"/>
      <c r="E37" s="9" t="n"/>
      <c r="F37" s="9" t="n"/>
      <c r="G37" s="9" t="n"/>
      <c r="H37" s="9" t="n"/>
      <c r="I37" s="8" t="n"/>
      <c r="J37" s="5">
        <f>(D37-C37+F37-E37+H37-G37)*24</f>
        <v/>
      </c>
      <c r="K37" s="35" t="n"/>
    </row>
    <row r="38">
      <c r="A38" s="7">
        <f>IF(A37&gt;=$D$4,0,IF(A37=0,0,1+A37))</f>
        <v/>
      </c>
      <c r="B38" s="62">
        <f>IF(A38=0,0,MID("DOMSegTerQuaQuiSexSAB",3*WEEKDAY(A38)-2,3))</f>
        <v/>
      </c>
      <c r="C38" s="8" t="n"/>
      <c r="D38" s="8" t="n"/>
      <c r="E38" s="9" t="n"/>
      <c r="F38" s="9" t="n"/>
      <c r="G38" s="9" t="n"/>
      <c r="H38" s="9" t="n"/>
      <c r="I38" s="8" t="n"/>
      <c r="J38" s="5">
        <f>(D38-C38+F38-E38+H38-G38)*24</f>
        <v/>
      </c>
      <c r="K38" s="35" t="n"/>
    </row>
    <row r="39">
      <c r="A39" s="7">
        <f>IF(A38&gt;=$D$4,0,IF(A38=0,0,1+A38))</f>
        <v/>
      </c>
      <c r="B39" s="62">
        <f>IF(A39=0,0,MID("DOMSegTerQuaQuiSexSAB",3*WEEKDAY(A39)-2,3))</f>
        <v/>
      </c>
      <c r="C39" s="8" t="n"/>
      <c r="D39" s="8" t="n"/>
      <c r="E39" s="9" t="n"/>
      <c r="F39" s="9" t="n"/>
      <c r="G39" s="9" t="n"/>
      <c r="H39" s="9" t="n"/>
      <c r="I39" s="8" t="n"/>
      <c r="J39" s="5">
        <f>(D39-C39+F39-E39+H39-G39)*24</f>
        <v/>
      </c>
      <c r="K39" s="35" t="n"/>
    </row>
    <row r="40">
      <c r="A40" s="7">
        <f>IF(A39&gt;=$D$4,0,IF(A39=0,0,1+A39))</f>
        <v/>
      </c>
      <c r="B40" s="62">
        <f>IF(A40=0,0,MID("DOMSegTerQuaQuiSexSAB",3*WEEKDAY(A40)-2,3))</f>
        <v/>
      </c>
      <c r="C40" s="8" t="n"/>
      <c r="D40" s="8" t="n"/>
      <c r="E40" s="9" t="n"/>
      <c r="F40" s="9" t="n"/>
      <c r="G40" s="9" t="n"/>
      <c r="H40" s="9" t="n"/>
      <c r="I40" s="8" t="n"/>
      <c r="J40" s="5">
        <f>(D40-C40+F40-E40+H40-G40)*24</f>
        <v/>
      </c>
      <c r="K40" s="35" t="n"/>
    </row>
    <row r="41">
      <c r="A41" s="7">
        <f>IF(A40&gt;=$D$4,0,IF(A40=0,0,1+A40))</f>
        <v/>
      </c>
      <c r="B41" s="62">
        <f>IF(A41=0,0,MID("DOMSegTerQuaQuiSexSAB",3*WEEKDAY(A41)-2,3))</f>
        <v/>
      </c>
      <c r="C41" s="8" t="n"/>
      <c r="D41" s="8" t="n"/>
      <c r="E41" s="9" t="n"/>
      <c r="F41" s="9" t="n"/>
      <c r="G41" s="9" t="n"/>
      <c r="H41" s="9" t="n"/>
      <c r="I41" s="8" t="n"/>
      <c r="J41" s="5">
        <f>(D41-C41+F41-E41+H41-G41)*24</f>
        <v/>
      </c>
      <c r="K41" s="35" t="n"/>
    </row>
    <row r="42">
      <c r="A42" s="7">
        <f>IF(A41&gt;=$D$4,0,IF(A41=0,0,1+A41))</f>
        <v/>
      </c>
      <c r="B42" s="62">
        <f>IF(A42=0,0,MID("DOMSegTerQuaQuiSexSAB",3*WEEKDAY(A42)-2,3))</f>
        <v/>
      </c>
      <c r="C42" s="8" t="n"/>
      <c r="D42" s="8" t="n"/>
      <c r="E42" s="9" t="n"/>
      <c r="F42" s="9" t="n"/>
      <c r="G42" s="9" t="n"/>
      <c r="H42" s="9" t="n"/>
      <c r="I42" s="8" t="n"/>
      <c r="J42" s="5">
        <f>(D42-C42+F42-E42+H42-G42)*24</f>
        <v/>
      </c>
      <c r="K42" s="35" t="n"/>
    </row>
    <row r="43" ht="13" customHeight="1" thickBot="1">
      <c r="A43" s="7">
        <f>IF(A42&gt;=$D$4,0,IF(A42=0,0,1+A42))</f>
        <v/>
      </c>
      <c r="B43" s="62">
        <f>IF(A43=0,0,MID("DOMSegTerQuaQuiSexSAB",3*WEEKDAY(A43)-2,3))</f>
        <v/>
      </c>
      <c r="C43" s="8" t="n"/>
      <c r="D43" s="8" t="n"/>
      <c r="E43" s="8" t="n"/>
      <c r="F43" s="9" t="n"/>
      <c r="G43" s="9" t="n"/>
      <c r="H43" s="9" t="n"/>
      <c r="I43" s="8" t="n"/>
      <c r="J43" s="5">
        <f>(D43-C43+F43-E43+H43-G43)*24</f>
        <v/>
      </c>
      <c r="K43" s="35" t="n"/>
    </row>
    <row r="44" ht="15" customHeight="1" thickBot="1">
      <c r="C44" s="15" t="n"/>
      <c r="D44" s="15" t="n"/>
      <c r="E44" s="15" t="n"/>
      <c r="F44" s="15" t="n"/>
      <c r="G44" s="15" t="n"/>
      <c r="H44" s="15" t="n"/>
      <c r="I44" s="15" t="n"/>
      <c r="J44" s="18">
        <f>SUM(J$13:J$43)</f>
        <v/>
      </c>
    </row>
    <row r="45" ht="13.25" customHeight="1">
      <c r="C45" s="15" t="n"/>
      <c r="D45" s="15" t="n"/>
      <c r="E45" s="15" t="n"/>
      <c r="F45" s="15" t="n"/>
      <c r="G45" s="15" t="n"/>
      <c r="H45" s="15" t="n"/>
      <c r="I45" s="15" t="n"/>
    </row>
  </sheetData>
  <mergeCells count="7">
    <mergeCell ref="C4:C5"/>
    <mergeCell ref="D5:E5"/>
    <mergeCell ref="H5:I5"/>
    <mergeCell ref="D4:E4"/>
    <mergeCell ref="H4:I4"/>
    <mergeCell ref="A1:K2"/>
    <mergeCell ref="A12:B12"/>
  </mergeCells>
  <conditionalFormatting sqref="B13:B43">
    <cfRule type="containsText" priority="1" operator="containsText" dxfId="2" text="DOM">
      <formula>NOT(ISERROR(SEARCH("DOM",B13)))</formula>
    </cfRule>
    <cfRule type="containsText" priority="2" operator="containsText" dxfId="2" text="SAB">
      <formula>NOT(ISERROR(SEARCH("SAB",B13)))</formula>
    </cfRule>
  </conditionalFormatting>
  <conditionalFormatting sqref="G13:I43">
    <cfRule type="expression" priority="9" dxfId="0" stopIfTrue="1">
      <formula>AND(#REF!=0,0=#REF!)</formula>
    </cfRule>
  </conditionalFormatting>
  <conditionalFormatting sqref="K13:K43">
    <cfRule type="expression" priority="3" dxfId="0" stopIfTrue="1">
      <formula>AND(#REF!=0,0=#REF!)</formula>
    </cfRule>
  </conditionalFormatting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2019-01-04T18:30:14Z</dcterms:created>
  <dcterms:modified xmlns:dcterms="http://purl.org/dc/terms/" xmlns:xsi="http://www.w3.org/2001/XMLSchema-instance" xsi:type="dcterms:W3CDTF">2025-03-26T12:31:09Z</dcterms:modified>
  <cp:lastModifiedBy>William Duarte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0x0101008D2FC13A4263CC47B0E901AA76DEA3C1</vt:lpwstr>
  </property>
  <property name="Order" fmtid="{D5CDD505-2E9C-101B-9397-08002B2CF9AE}" pid="3">
    <vt:r8 xmlns:vt="http://schemas.openxmlformats.org/officeDocument/2006/docPropsVTypes">402800</vt:r8>
  </property>
  <property name="MediaServiceImageTags" fmtid="{D5CDD505-2E9C-101B-9397-08002B2CF9AE}" pid="4">
    <vt:lpwstr xmlns:vt="http://schemas.openxmlformats.org/officeDocument/2006/docPropsVTypes"/>
  </property>
</Properties>
</file>