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williamduarte/Pesquisa_CMEX/cmex_poc/buscador_inteligente/scripts/"/>
    </mc:Choice>
  </mc:AlternateContent>
  <xr:revisionPtr revIDLastSave="0" documentId="8_{558AFFE3-0A69-5445-8C3E-AA3F1AC2EE4C}" xr6:coauthVersionLast="47" xr6:coauthVersionMax="47" xr10:uidLastSave="{00000000-0000-0000-0000-000000000000}"/>
  <bookViews>
    <workbookView xWindow="-45200" yWindow="-7040" windowWidth="33020" windowHeight="23340" tabRatio="993" activeTab="3" xr2:uid="{00000000-000D-0000-FFFF-FFFF00000000}"/>
  </bookViews>
  <sheets>
    <sheet name="Sumário" sheetId="27" state="hidden" r:id="rId1"/>
    <sheet name="Janeiro - 2025" sheetId="12" r:id="rId2"/>
    <sheet name="Fevereiro - 2025" sheetId="16" r:id="rId3"/>
    <sheet name="Março - 2025" sheetId="17" r:id="rId4"/>
    <sheet name="Abril - 2025" sheetId="18" r:id="rId5"/>
    <sheet name="Maio - 2025" sheetId="19" r:id="rId6"/>
    <sheet name="Junho - 2025" sheetId="20" r:id="rId7"/>
    <sheet name="Julho - 2025" sheetId="21" r:id="rId8"/>
    <sheet name="Agosto - 2025" sheetId="22" r:id="rId9"/>
    <sheet name="Setembro - 2025" sheetId="23" r:id="rId10"/>
    <sheet name="Outubro - 2025" sheetId="24" r:id="rId11"/>
    <sheet name="Novembro - 2025" sheetId="25" r:id="rId12"/>
    <sheet name="Dezembro - 2025" sheetId="2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9" l="1"/>
  <c r="H5" i="26"/>
  <c r="H5" i="22"/>
  <c r="H5" i="21"/>
  <c r="H5" i="18"/>
  <c r="H5" i="17" l="1"/>
  <c r="H5" i="16"/>
  <c r="A13" i="12"/>
  <c r="B13" i="12" s="1"/>
  <c r="H5" i="12"/>
  <c r="B8" i="12"/>
  <c r="J38" i="16" l="1"/>
  <c r="J30" i="21"/>
  <c r="H5" i="25"/>
  <c r="H5" i="24"/>
  <c r="H5" i="23"/>
  <c r="H5" i="20"/>
  <c r="D5" i="17" l="1"/>
  <c r="J40" i="16"/>
  <c r="B9" i="16"/>
  <c r="B9" i="17" s="1"/>
  <c r="B9" i="18" s="1"/>
  <c r="B9" i="19" s="1"/>
  <c r="B9" i="20" s="1"/>
  <c r="B9" i="21" s="1"/>
  <c r="B9" i="22" s="1"/>
  <c r="B9" i="23" s="1"/>
  <c r="B9" i="24" s="1"/>
  <c r="B9" i="25" s="1"/>
  <c r="B9" i="26" s="1"/>
  <c r="B5" i="20" l="1"/>
  <c r="J16" i="25" l="1"/>
  <c r="E4" i="27" l="1"/>
  <c r="J13" i="16"/>
  <c r="O4" i="27"/>
  <c r="N4" i="27"/>
  <c r="M4" i="27"/>
  <c r="L4" i="27"/>
  <c r="K4" i="27"/>
  <c r="J4" i="27"/>
  <c r="I4" i="27"/>
  <c r="H4" i="27"/>
  <c r="G4" i="27"/>
  <c r="F4" i="27"/>
  <c r="D4" i="27"/>
  <c r="C4" i="27" l="1"/>
  <c r="B8" i="16"/>
  <c r="B8" i="17" s="1"/>
  <c r="B8" i="18" s="1"/>
  <c r="B8" i="19" s="1"/>
  <c r="B8" i="20" s="1"/>
  <c r="B8" i="21" s="1"/>
  <c r="B8" i="22" s="1"/>
  <c r="B8" i="23" s="1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A13" i="26"/>
  <c r="B13" i="26" s="1"/>
  <c r="D5" i="26"/>
  <c r="B5" i="26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5" i="25"/>
  <c r="J14" i="25"/>
  <c r="J13" i="25"/>
  <c r="A13" i="25"/>
  <c r="B13" i="25" s="1"/>
  <c r="D5" i="25"/>
  <c r="B5" i="25"/>
  <c r="J43" i="24"/>
  <c r="J42" i="24"/>
  <c r="J41" i="24"/>
  <c r="J40" i="24"/>
  <c r="J39" i="24"/>
  <c r="J38" i="24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A13" i="24"/>
  <c r="D5" i="24"/>
  <c r="B5" i="24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A13" i="23"/>
  <c r="B13" i="23" s="1"/>
  <c r="D5" i="23"/>
  <c r="B5" i="23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A13" i="22"/>
  <c r="B13" i="22" s="1"/>
  <c r="D5" i="22"/>
  <c r="B5" i="22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44" i="21" s="1"/>
  <c r="J17" i="21"/>
  <c r="J16" i="21"/>
  <c r="J15" i="21"/>
  <c r="J14" i="21"/>
  <c r="J13" i="21"/>
  <c r="A13" i="21"/>
  <c r="D5" i="21"/>
  <c r="B5" i="21"/>
  <c r="A14" i="24" l="1"/>
  <c r="B14" i="24" s="1"/>
  <c r="B13" i="24"/>
  <c r="A14" i="21"/>
  <c r="B14" i="21" s="1"/>
  <c r="B13" i="21"/>
  <c r="B8" i="24"/>
  <c r="B8" i="25"/>
  <c r="J44" i="26"/>
  <c r="A14" i="25"/>
  <c r="J44" i="24"/>
  <c r="M5" i="27" s="1"/>
  <c r="A14" i="26"/>
  <c r="B14" i="26" s="1"/>
  <c r="J43" i="25"/>
  <c r="J43" i="23"/>
  <c r="A14" i="23"/>
  <c r="J44" i="22"/>
  <c r="A14" i="22"/>
  <c r="B14" i="22" s="1"/>
  <c r="A15" i="24" l="1"/>
  <c r="B15" i="24" s="1"/>
  <c r="A15" i="23"/>
  <c r="B15" i="23" s="1"/>
  <c r="B14" i="23"/>
  <c r="A15" i="21"/>
  <c r="J5" i="26"/>
  <c r="O5" i="27"/>
  <c r="A15" i="25"/>
  <c r="B15" i="25" s="1"/>
  <c r="B14" i="25"/>
  <c r="J5" i="25"/>
  <c r="N5" i="27"/>
  <c r="J5" i="23"/>
  <c r="L5" i="27"/>
  <c r="J5" i="22"/>
  <c r="K5" i="27"/>
  <c r="J5" i="21"/>
  <c r="J5" i="27"/>
  <c r="J5" i="24"/>
  <c r="B8" i="26"/>
  <c r="A15" i="26"/>
  <c r="B15" i="26" s="1"/>
  <c r="A15" i="22"/>
  <c r="B15" i="22" s="1"/>
  <c r="A16" i="24" l="1"/>
  <c r="B16" i="24" s="1"/>
  <c r="A16" i="23"/>
  <c r="B16" i="23" s="1"/>
  <c r="A16" i="21"/>
  <c r="B15" i="21"/>
  <c r="A16" i="25"/>
  <c r="B16" i="25" s="1"/>
  <c r="A16" i="26"/>
  <c r="B16" i="26" s="1"/>
  <c r="A16" i="22"/>
  <c r="B16" i="22" s="1"/>
  <c r="A17" i="24" l="1"/>
  <c r="B17" i="24" s="1"/>
  <c r="A17" i="23"/>
  <c r="B17" i="23" s="1"/>
  <c r="A18" i="23"/>
  <c r="B18" i="23" s="1"/>
  <c r="A17" i="21"/>
  <c r="B16" i="21"/>
  <c r="A17" i="25"/>
  <c r="A17" i="26"/>
  <c r="B17" i="26" s="1"/>
  <c r="A17" i="22"/>
  <c r="B17" i="22" s="1"/>
  <c r="A18" i="24" l="1"/>
  <c r="B18" i="24" s="1"/>
  <c r="A19" i="23"/>
  <c r="B19" i="23" s="1"/>
  <c r="B17" i="21"/>
  <c r="A18" i="21"/>
  <c r="A18" i="25"/>
  <c r="B17" i="25"/>
  <c r="A18" i="26"/>
  <c r="B18" i="26" s="1"/>
  <c r="A19" i="24"/>
  <c r="B19" i="24" s="1"/>
  <c r="A20" i="23"/>
  <c r="B20" i="23" s="1"/>
  <c r="A18" i="22"/>
  <c r="B18" i="22" s="1"/>
  <c r="B18" i="21" l="1"/>
  <c r="A19" i="21"/>
  <c r="B18" i="25"/>
  <c r="A19" i="25"/>
  <c r="A19" i="26"/>
  <c r="B19" i="26" s="1"/>
  <c r="A20" i="24"/>
  <c r="B20" i="24" s="1"/>
  <c r="A21" i="23"/>
  <c r="B21" i="23" s="1"/>
  <c r="A19" i="22"/>
  <c r="B19" i="22" s="1"/>
  <c r="B19" i="21" l="1"/>
  <c r="A20" i="21"/>
  <c r="B19" i="25"/>
  <c r="A20" i="25"/>
  <c r="A20" i="26"/>
  <c r="B20" i="26" s="1"/>
  <c r="A21" i="24"/>
  <c r="B21" i="24" s="1"/>
  <c r="A22" i="23"/>
  <c r="B22" i="23" s="1"/>
  <c r="A20" i="22"/>
  <c r="B20" i="22" s="1"/>
  <c r="B20" i="21" l="1"/>
  <c r="A21" i="21"/>
  <c r="B20" i="25"/>
  <c r="A21" i="25"/>
  <c r="A21" i="26"/>
  <c r="B21" i="26" s="1"/>
  <c r="A22" i="24"/>
  <c r="B22" i="24" s="1"/>
  <c r="A23" i="23"/>
  <c r="B23" i="23" s="1"/>
  <c r="A21" i="22"/>
  <c r="B21" i="22" s="1"/>
  <c r="B21" i="21" l="1"/>
  <c r="A22" i="21"/>
  <c r="B21" i="25"/>
  <c r="A22" i="25"/>
  <c r="A22" i="26"/>
  <c r="B22" i="26" s="1"/>
  <c r="A23" i="24"/>
  <c r="B23" i="24" s="1"/>
  <c r="A24" i="23"/>
  <c r="B24" i="23" s="1"/>
  <c r="A22" i="22"/>
  <c r="B22" i="22" s="1"/>
  <c r="B22" i="21" l="1"/>
  <c r="A23" i="21"/>
  <c r="B22" i="25"/>
  <c r="A23" i="25"/>
  <c r="A23" i="26"/>
  <c r="B23" i="26" s="1"/>
  <c r="A24" i="24"/>
  <c r="B24" i="24" s="1"/>
  <c r="A25" i="23"/>
  <c r="B25" i="23" s="1"/>
  <c r="A23" i="22"/>
  <c r="B23" i="22" s="1"/>
  <c r="B23" i="21" l="1"/>
  <c r="A24" i="21"/>
  <c r="B23" i="25"/>
  <c r="A24" i="25"/>
  <c r="A24" i="26"/>
  <c r="B24" i="26" s="1"/>
  <c r="A25" i="24"/>
  <c r="B25" i="24" s="1"/>
  <c r="A26" i="23"/>
  <c r="B26" i="23" s="1"/>
  <c r="A24" i="22"/>
  <c r="B24" i="22" s="1"/>
  <c r="B24" i="21" l="1"/>
  <c r="A25" i="21"/>
  <c r="B24" i="25"/>
  <c r="A25" i="25"/>
  <c r="A25" i="26"/>
  <c r="B25" i="26" s="1"/>
  <c r="A26" i="24"/>
  <c r="B26" i="24" s="1"/>
  <c r="A27" i="23"/>
  <c r="B27" i="23" s="1"/>
  <c r="A25" i="22"/>
  <c r="B25" i="22" s="1"/>
  <c r="B25" i="21" l="1"/>
  <c r="A26" i="21"/>
  <c r="B25" i="25"/>
  <c r="A26" i="25"/>
  <c r="A26" i="26"/>
  <c r="B26" i="26" s="1"/>
  <c r="A27" i="24"/>
  <c r="B27" i="24" s="1"/>
  <c r="A28" i="23"/>
  <c r="B28" i="23" s="1"/>
  <c r="A26" i="22"/>
  <c r="B26" i="22" s="1"/>
  <c r="B26" i="21" l="1"/>
  <c r="A27" i="21"/>
  <c r="B26" i="25"/>
  <c r="A27" i="25"/>
  <c r="A27" i="26"/>
  <c r="B27" i="26" s="1"/>
  <c r="A28" i="24"/>
  <c r="B28" i="24" s="1"/>
  <c r="A29" i="23"/>
  <c r="B29" i="23" s="1"/>
  <c r="A27" i="22"/>
  <c r="B27" i="22" s="1"/>
  <c r="B27" i="21" l="1"/>
  <c r="A28" i="21"/>
  <c r="B27" i="25"/>
  <c r="A28" i="25"/>
  <c r="A28" i="26"/>
  <c r="B28" i="26" s="1"/>
  <c r="A29" i="24"/>
  <c r="B29" i="24" s="1"/>
  <c r="A30" i="23"/>
  <c r="B30" i="23" s="1"/>
  <c r="A28" i="22"/>
  <c r="B28" i="22" s="1"/>
  <c r="B28" i="21" l="1"/>
  <c r="A29" i="21"/>
  <c r="B28" i="25"/>
  <c r="A29" i="25"/>
  <c r="A29" i="26"/>
  <c r="B29" i="26" s="1"/>
  <c r="A30" i="24"/>
  <c r="B30" i="24" s="1"/>
  <c r="A31" i="23"/>
  <c r="B31" i="23" s="1"/>
  <c r="A29" i="22"/>
  <c r="B29" i="22" s="1"/>
  <c r="B29" i="21" l="1"/>
  <c r="A30" i="21"/>
  <c r="B29" i="25"/>
  <c r="A30" i="25"/>
  <c r="A30" i="26"/>
  <c r="B30" i="26" s="1"/>
  <c r="A31" i="24"/>
  <c r="B31" i="24" s="1"/>
  <c r="A32" i="23"/>
  <c r="B32" i="23" s="1"/>
  <c r="A30" i="22"/>
  <c r="B30" i="22" s="1"/>
  <c r="B30" i="21" l="1"/>
  <c r="A31" i="21"/>
  <c r="B30" i="25"/>
  <c r="A31" i="25"/>
  <c r="A31" i="26"/>
  <c r="B31" i="26" s="1"/>
  <c r="A32" i="24"/>
  <c r="B32" i="24" s="1"/>
  <c r="A33" i="23"/>
  <c r="B33" i="23" s="1"/>
  <c r="A31" i="22"/>
  <c r="B31" i="22" s="1"/>
  <c r="B31" i="21" l="1"/>
  <c r="A32" i="21"/>
  <c r="B31" i="25"/>
  <c r="A32" i="25"/>
  <c r="A32" i="26"/>
  <c r="B32" i="26" s="1"/>
  <c r="A33" i="24"/>
  <c r="B33" i="24" s="1"/>
  <c r="A34" i="23"/>
  <c r="B34" i="23" s="1"/>
  <c r="A32" i="22"/>
  <c r="B32" i="22" s="1"/>
  <c r="B32" i="21" l="1"/>
  <c r="A33" i="21"/>
  <c r="B32" i="25"/>
  <c r="A33" i="25"/>
  <c r="A33" i="26"/>
  <c r="B33" i="26" s="1"/>
  <c r="A34" i="24"/>
  <c r="B34" i="24" s="1"/>
  <c r="A35" i="23"/>
  <c r="B35" i="23" s="1"/>
  <c r="A33" i="22"/>
  <c r="B33" i="22" s="1"/>
  <c r="B33" i="21" l="1"/>
  <c r="A34" i="21"/>
  <c r="B33" i="25"/>
  <c r="A34" i="25"/>
  <c r="A34" i="26"/>
  <c r="B34" i="26" s="1"/>
  <c r="A35" i="24"/>
  <c r="B35" i="24" s="1"/>
  <c r="A36" i="23"/>
  <c r="B36" i="23" s="1"/>
  <c r="A34" i="22"/>
  <c r="B34" i="22" s="1"/>
  <c r="B34" i="21" l="1"/>
  <c r="A35" i="21"/>
  <c r="B34" i="25"/>
  <c r="A35" i="25"/>
  <c r="A35" i="26"/>
  <c r="B35" i="26" s="1"/>
  <c r="A36" i="24"/>
  <c r="B36" i="24" s="1"/>
  <c r="A37" i="23"/>
  <c r="B37" i="23" s="1"/>
  <c r="A35" i="22"/>
  <c r="B35" i="22" s="1"/>
  <c r="B35" i="21" l="1"/>
  <c r="A36" i="21"/>
  <c r="B35" i="25"/>
  <c r="A36" i="25"/>
  <c r="A36" i="26"/>
  <c r="B36" i="26" s="1"/>
  <c r="A37" i="24"/>
  <c r="B37" i="24" s="1"/>
  <c r="A38" i="23"/>
  <c r="B38" i="23" s="1"/>
  <c r="A36" i="22"/>
  <c r="B36" i="22" s="1"/>
  <c r="B36" i="21" l="1"/>
  <c r="A37" i="21"/>
  <c r="B36" i="25"/>
  <c r="A37" i="25"/>
  <c r="A37" i="26"/>
  <c r="B37" i="26" s="1"/>
  <c r="A38" i="24"/>
  <c r="B38" i="24" s="1"/>
  <c r="A39" i="23"/>
  <c r="B39" i="23" s="1"/>
  <c r="A37" i="22"/>
  <c r="B37" i="22" s="1"/>
  <c r="B37" i="21" l="1"/>
  <c r="A38" i="21"/>
  <c r="B37" i="25"/>
  <c r="A38" i="25"/>
  <c r="A38" i="26"/>
  <c r="B38" i="26" s="1"/>
  <c r="A39" i="24"/>
  <c r="B39" i="24" s="1"/>
  <c r="A40" i="23"/>
  <c r="B40" i="23" s="1"/>
  <c r="A38" i="22"/>
  <c r="B38" i="22" s="1"/>
  <c r="B38" i="21" l="1"/>
  <c r="A39" i="21"/>
  <c r="B38" i="25"/>
  <c r="A39" i="25"/>
  <c r="A39" i="26"/>
  <c r="B39" i="26" s="1"/>
  <c r="A40" i="24"/>
  <c r="B40" i="24" s="1"/>
  <c r="A41" i="23"/>
  <c r="B41" i="23" s="1"/>
  <c r="A39" i="22"/>
  <c r="B39" i="22" s="1"/>
  <c r="B39" i="21" l="1"/>
  <c r="A40" i="21"/>
  <c r="B39" i="25"/>
  <c r="A40" i="25"/>
  <c r="A40" i="26"/>
  <c r="B40" i="26" s="1"/>
  <c r="A41" i="24"/>
  <c r="B41" i="24" s="1"/>
  <c r="A42" i="23"/>
  <c r="B42" i="23" s="1"/>
  <c r="A40" i="22"/>
  <c r="B40" i="22" s="1"/>
  <c r="B40" i="21" l="1"/>
  <c r="A41" i="21"/>
  <c r="B40" i="25"/>
  <c r="A41" i="25"/>
  <c r="A41" i="26"/>
  <c r="B41" i="26" s="1"/>
  <c r="A42" i="24"/>
  <c r="B42" i="24" s="1"/>
  <c r="A41" i="22"/>
  <c r="B41" i="22" s="1"/>
  <c r="B41" i="21" l="1"/>
  <c r="A42" i="21"/>
  <c r="B41" i="25"/>
  <c r="A42" i="25"/>
  <c r="B42" i="25" s="1"/>
  <c r="A42" i="26"/>
  <c r="B42" i="26" s="1"/>
  <c r="A43" i="24"/>
  <c r="B43" i="24" s="1"/>
  <c r="A42" i="22"/>
  <c r="B42" i="22" s="1"/>
  <c r="B42" i="21" l="1"/>
  <c r="A43" i="21"/>
  <c r="B43" i="21" s="1"/>
  <c r="A43" i="26"/>
  <c r="B43" i="26" s="1"/>
  <c r="A43" i="22"/>
  <c r="B43" i="22" s="1"/>
  <c r="J42" i="20" l="1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A13" i="20"/>
  <c r="B13" i="20" s="1"/>
  <c r="D5" i="20"/>
  <c r="J43" i="20" l="1"/>
  <c r="A14" i="20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A13" i="19"/>
  <c r="B13" i="19" s="1"/>
  <c r="D5" i="19"/>
  <c r="B5" i="19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A13" i="18"/>
  <c r="D5" i="18"/>
  <c r="B5" i="18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A13" i="17"/>
  <c r="B13" i="17" s="1"/>
  <c r="B5" i="17"/>
  <c r="D5" i="16"/>
  <c r="A13" i="16"/>
  <c r="B13" i="16" s="1"/>
  <c r="J40" i="12"/>
  <c r="J17" i="16"/>
  <c r="J39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6" i="16"/>
  <c r="J15" i="16"/>
  <c r="J14" i="16"/>
  <c r="B5" i="16"/>
  <c r="A14" i="16" l="1"/>
  <c r="A15" i="20"/>
  <c r="B14" i="20"/>
  <c r="A14" i="18"/>
  <c r="B14" i="18" s="1"/>
  <c r="B13" i="18"/>
  <c r="J44" i="17"/>
  <c r="J5" i="20"/>
  <c r="I5" i="27"/>
  <c r="J44" i="19"/>
  <c r="A14" i="19"/>
  <c r="B14" i="19" s="1"/>
  <c r="J43" i="18"/>
  <c r="A14" i="17"/>
  <c r="B14" i="17" s="1"/>
  <c r="J41" i="16"/>
  <c r="B14" i="16" l="1"/>
  <c r="A15" i="16"/>
  <c r="A16" i="20"/>
  <c r="B15" i="20"/>
  <c r="A15" i="18"/>
  <c r="J5" i="19"/>
  <c r="H5" i="27"/>
  <c r="J5" i="18"/>
  <c r="G5" i="27"/>
  <c r="J5" i="17"/>
  <c r="F5" i="27"/>
  <c r="J5" i="16"/>
  <c r="E5" i="27"/>
  <c r="A15" i="19"/>
  <c r="B15" i="19" s="1"/>
  <c r="A15" i="17"/>
  <c r="B15" i="17" s="1"/>
  <c r="A16" i="16" l="1"/>
  <c r="B15" i="16"/>
  <c r="B16" i="20"/>
  <c r="A17" i="20"/>
  <c r="A16" i="18"/>
  <c r="B15" i="18"/>
  <c r="A16" i="19"/>
  <c r="B16" i="19" s="1"/>
  <c r="A16" i="17"/>
  <c r="B16" i="17" s="1"/>
  <c r="A17" i="16" l="1"/>
  <c r="B16" i="16"/>
  <c r="B17" i="20"/>
  <c r="A18" i="20"/>
  <c r="B16" i="18"/>
  <c r="A17" i="18"/>
  <c r="A17" i="19"/>
  <c r="B17" i="19" s="1"/>
  <c r="A17" i="17"/>
  <c r="B17" i="17" s="1"/>
  <c r="A18" i="16" l="1"/>
  <c r="B17" i="16"/>
  <c r="B18" i="20"/>
  <c r="A19" i="20"/>
  <c r="B17" i="18"/>
  <c r="A18" i="18"/>
  <c r="A18" i="19"/>
  <c r="B18" i="19" s="1"/>
  <c r="A18" i="17"/>
  <c r="B18" i="17" s="1"/>
  <c r="A19" i="16" l="1"/>
  <c r="B18" i="16"/>
  <c r="B19" i="20"/>
  <c r="A20" i="20"/>
  <c r="B18" i="18"/>
  <c r="A19" i="18"/>
  <c r="A19" i="19"/>
  <c r="B19" i="19" s="1"/>
  <c r="A19" i="17"/>
  <c r="B19" i="17" s="1"/>
  <c r="A20" i="16" l="1"/>
  <c r="B19" i="16"/>
  <c r="B20" i="20"/>
  <c r="A21" i="20"/>
  <c r="B19" i="18"/>
  <c r="A20" i="18"/>
  <c r="A20" i="19"/>
  <c r="B20" i="19" s="1"/>
  <c r="A20" i="17"/>
  <c r="B20" i="17" s="1"/>
  <c r="A21" i="16" l="1"/>
  <c r="B20" i="16"/>
  <c r="B21" i="20"/>
  <c r="A22" i="20"/>
  <c r="B20" i="18"/>
  <c r="A21" i="18"/>
  <c r="A21" i="19"/>
  <c r="B21" i="19" s="1"/>
  <c r="A21" i="17"/>
  <c r="B21" i="17" s="1"/>
  <c r="A22" i="16" l="1"/>
  <c r="B21" i="16"/>
  <c r="B22" i="20"/>
  <c r="A23" i="20"/>
  <c r="B21" i="18"/>
  <c r="A22" i="18"/>
  <c r="A22" i="19"/>
  <c r="B22" i="19" s="1"/>
  <c r="A22" i="17"/>
  <c r="B22" i="17" s="1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1" i="12"/>
  <c r="J42" i="12"/>
  <c r="J43" i="12"/>
  <c r="J14" i="12"/>
  <c r="J13" i="12"/>
  <c r="A23" i="16" l="1"/>
  <c r="B22" i="16"/>
  <c r="B23" i="20"/>
  <c r="A24" i="20"/>
  <c r="B22" i="18"/>
  <c r="A23" i="18"/>
  <c r="A23" i="19"/>
  <c r="B23" i="19" s="1"/>
  <c r="A23" i="17"/>
  <c r="B23" i="17" s="1"/>
  <c r="A24" i="16" l="1"/>
  <c r="B23" i="16"/>
  <c r="B24" i="20"/>
  <c r="A25" i="20"/>
  <c r="B23" i="18"/>
  <c r="A24" i="18"/>
  <c r="A24" i="19"/>
  <c r="B24" i="19" s="1"/>
  <c r="A24" i="17"/>
  <c r="B24" i="17" s="1"/>
  <c r="A25" i="16" l="1"/>
  <c r="B24" i="16"/>
  <c r="B25" i="20"/>
  <c r="A26" i="20"/>
  <c r="B24" i="18"/>
  <c r="A25" i="18"/>
  <c r="A25" i="19"/>
  <c r="B25" i="19" s="1"/>
  <c r="A25" i="17"/>
  <c r="B25" i="17" s="1"/>
  <c r="A26" i="16" l="1"/>
  <c r="B25" i="16"/>
  <c r="B26" i="20"/>
  <c r="A27" i="20"/>
  <c r="B25" i="18"/>
  <c r="A26" i="18"/>
  <c r="A26" i="19"/>
  <c r="B26" i="19" s="1"/>
  <c r="A26" i="17"/>
  <c r="B26" i="17" s="1"/>
  <c r="A27" i="16" l="1"/>
  <c r="B26" i="16"/>
  <c r="B27" i="20"/>
  <c r="A28" i="20"/>
  <c r="B26" i="18"/>
  <c r="A27" i="18"/>
  <c r="A27" i="19"/>
  <c r="B27" i="19" s="1"/>
  <c r="A27" i="17"/>
  <c r="B27" i="17" s="1"/>
  <c r="D5" i="12"/>
  <c r="B5" i="12"/>
  <c r="A28" i="16" l="1"/>
  <c r="B27" i="16"/>
  <c r="A14" i="12"/>
  <c r="B14" i="12" s="1"/>
  <c r="B28" i="20"/>
  <c r="A29" i="20"/>
  <c r="B27" i="18"/>
  <c r="A28" i="18"/>
  <c r="A28" i="19"/>
  <c r="B28" i="19" s="1"/>
  <c r="A28" i="17"/>
  <c r="B28" i="17" s="1"/>
  <c r="J44" i="12"/>
  <c r="A29" i="16" l="1"/>
  <c r="B28" i="16"/>
  <c r="B29" i="20"/>
  <c r="A30" i="20"/>
  <c r="B28" i="18"/>
  <c r="A29" i="18"/>
  <c r="J5" i="12"/>
  <c r="D5" i="27"/>
  <c r="C5" i="27" s="1"/>
  <c r="A29" i="19"/>
  <c r="B29" i="19" s="1"/>
  <c r="A29" i="17"/>
  <c r="B29" i="17" s="1"/>
  <c r="A15" i="12"/>
  <c r="B15" i="12" s="1"/>
  <c r="A30" i="16" l="1"/>
  <c r="B29" i="16"/>
  <c r="B30" i="20"/>
  <c r="A31" i="20"/>
  <c r="B29" i="18"/>
  <c r="A30" i="18"/>
  <c r="A30" i="19"/>
  <c r="B30" i="19" s="1"/>
  <c r="A30" i="17"/>
  <c r="B30" i="17" s="1"/>
  <c r="A16" i="12"/>
  <c r="B16" i="12" s="1"/>
  <c r="A31" i="16" l="1"/>
  <c r="B30" i="16"/>
  <c r="B31" i="20"/>
  <c r="A32" i="20"/>
  <c r="B30" i="18"/>
  <c r="A31" i="18"/>
  <c r="A31" i="19"/>
  <c r="B31" i="19" s="1"/>
  <c r="A31" i="17"/>
  <c r="B31" i="17" s="1"/>
  <c r="A17" i="12"/>
  <c r="B17" i="12" s="1"/>
  <c r="A32" i="16" l="1"/>
  <c r="B31" i="16"/>
  <c r="B32" i="20"/>
  <c r="A33" i="20"/>
  <c r="B31" i="18"/>
  <c r="A32" i="18"/>
  <c r="A32" i="19"/>
  <c r="B32" i="19" s="1"/>
  <c r="A32" i="17"/>
  <c r="B32" i="17" s="1"/>
  <c r="A18" i="12"/>
  <c r="B18" i="12" s="1"/>
  <c r="A33" i="16" l="1"/>
  <c r="B32" i="16"/>
  <c r="B33" i="20"/>
  <c r="A34" i="20"/>
  <c r="B32" i="18"/>
  <c r="A33" i="18"/>
  <c r="A33" i="19"/>
  <c r="B33" i="19" s="1"/>
  <c r="A33" i="17"/>
  <c r="B33" i="17" s="1"/>
  <c r="A19" i="12"/>
  <c r="B19" i="12" s="1"/>
  <c r="A34" i="16" l="1"/>
  <c r="B33" i="16"/>
  <c r="B34" i="20"/>
  <c r="A35" i="20"/>
  <c r="B33" i="18"/>
  <c r="A34" i="18"/>
  <c r="A34" i="19"/>
  <c r="B34" i="19" s="1"/>
  <c r="A34" i="17"/>
  <c r="B34" i="17" s="1"/>
  <c r="A20" i="12"/>
  <c r="B20" i="12" s="1"/>
  <c r="A35" i="16" l="1"/>
  <c r="B34" i="16"/>
  <c r="B35" i="20"/>
  <c r="A36" i="20"/>
  <c r="B34" i="18"/>
  <c r="A35" i="18"/>
  <c r="A35" i="19"/>
  <c r="B35" i="19" s="1"/>
  <c r="A35" i="17"/>
  <c r="B35" i="17" s="1"/>
  <c r="A21" i="12"/>
  <c r="B21" i="12" s="1"/>
  <c r="A36" i="16" l="1"/>
  <c r="B35" i="16"/>
  <c r="B36" i="20"/>
  <c r="A37" i="20"/>
  <c r="B35" i="18"/>
  <c r="A36" i="18"/>
  <c r="A36" i="19"/>
  <c r="B36" i="19" s="1"/>
  <c r="A36" i="17"/>
  <c r="B36" i="17" s="1"/>
  <c r="A22" i="12"/>
  <c r="B22" i="12" s="1"/>
  <c r="A37" i="16" l="1"/>
  <c r="B36" i="16"/>
  <c r="B37" i="20"/>
  <c r="A38" i="20"/>
  <c r="B36" i="18"/>
  <c r="A37" i="18"/>
  <c r="A37" i="19"/>
  <c r="B37" i="19" s="1"/>
  <c r="A37" i="17"/>
  <c r="B37" i="17" s="1"/>
  <c r="A23" i="12"/>
  <c r="B23" i="12" s="1"/>
  <c r="A38" i="16" l="1"/>
  <c r="B37" i="16"/>
  <c r="B38" i="20"/>
  <c r="A39" i="20"/>
  <c r="B37" i="18"/>
  <c r="A38" i="18"/>
  <c r="A38" i="19"/>
  <c r="B38" i="19" s="1"/>
  <c r="A38" i="17"/>
  <c r="B38" i="17" s="1"/>
  <c r="A24" i="12"/>
  <c r="B24" i="12" s="1"/>
  <c r="A39" i="16" l="1"/>
  <c r="A40" i="16" s="1"/>
  <c r="B38" i="16"/>
  <c r="B39" i="20"/>
  <c r="A40" i="20"/>
  <c r="B38" i="18"/>
  <c r="A39" i="18"/>
  <c r="A39" i="19"/>
  <c r="B39" i="19" s="1"/>
  <c r="A39" i="17"/>
  <c r="B39" i="17" s="1"/>
  <c r="A25" i="12"/>
  <c r="B25" i="12" s="1"/>
  <c r="B40" i="16" l="1"/>
  <c r="B39" i="16"/>
  <c r="B40" i="20"/>
  <c r="A41" i="20"/>
  <c r="B39" i="18"/>
  <c r="A40" i="18"/>
  <c r="A40" i="19"/>
  <c r="B40" i="19" s="1"/>
  <c r="A40" i="17"/>
  <c r="B40" i="17" s="1"/>
  <c r="A26" i="12"/>
  <c r="B26" i="12" s="1"/>
  <c r="B41" i="20" l="1"/>
  <c r="A42" i="20"/>
  <c r="B42" i="20" s="1"/>
  <c r="B40" i="18"/>
  <c r="A41" i="18"/>
  <c r="A41" i="19"/>
  <c r="B41" i="19" s="1"/>
  <c r="A41" i="17"/>
  <c r="B41" i="17" s="1"/>
  <c r="A27" i="12"/>
  <c r="B27" i="12" s="1"/>
  <c r="B41" i="18" l="1"/>
  <c r="A42" i="18"/>
  <c r="B42" i="18" s="1"/>
  <c r="A42" i="19"/>
  <c r="B42" i="19" s="1"/>
  <c r="A42" i="17"/>
  <c r="B42" i="17" s="1"/>
  <c r="A28" i="12"/>
  <c r="B28" i="12" s="1"/>
  <c r="A43" i="19" l="1"/>
  <c r="B43" i="19" s="1"/>
  <c r="A43" i="17"/>
  <c r="B43" i="17" s="1"/>
  <c r="A29" i="12"/>
  <c r="B29" i="12" s="1"/>
  <c r="A30" i="12" l="1"/>
  <c r="B30" i="12" s="1"/>
  <c r="A31" i="12" l="1"/>
  <c r="B31" i="12" s="1"/>
  <c r="A32" i="12" l="1"/>
  <c r="B32" i="12" s="1"/>
  <c r="A33" i="12" l="1"/>
  <c r="B33" i="12" s="1"/>
  <c r="A34" i="12" l="1"/>
  <c r="B34" i="12" s="1"/>
  <c r="A35" i="12" l="1"/>
  <c r="B35" i="12" s="1"/>
  <c r="A36" i="12" l="1"/>
  <c r="B36" i="12" s="1"/>
  <c r="A37" i="12" l="1"/>
  <c r="B37" i="12" s="1"/>
  <c r="A38" i="12" l="1"/>
  <c r="B38" i="12" s="1"/>
  <c r="A39" i="12" l="1"/>
  <c r="B39" i="12" s="1"/>
  <c r="A40" i="12" l="1"/>
  <c r="B40" i="12" s="1"/>
  <c r="A41" i="12" l="1"/>
  <c r="B41" i="12" s="1"/>
  <c r="A42" i="12" l="1"/>
  <c r="B42" i="12" s="1"/>
  <c r="A43" i="12" l="1"/>
  <c r="B43" i="12" s="1"/>
</calcChain>
</file>

<file path=xl/sharedStrings.xml><?xml version="1.0" encoding="utf-8"?>
<sst xmlns="http://schemas.openxmlformats.org/spreadsheetml/2006/main" count="221" uniqueCount="38">
  <si>
    <t>CONTROLE HORAS</t>
  </si>
  <si>
    <t>Período:</t>
  </si>
  <si>
    <t>Controle</t>
  </si>
  <si>
    <t>Horas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</si>
  <si>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</si>
  <si>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</si>
  <si>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</si>
  <si>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</si>
  <si>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</si>
  <si>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</si>
  <si>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</si>
  <si>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</si>
  <si>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</si>
  <si>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</si>
  <si>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</si>
  <si>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</si>
  <si>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Horas úteis: </t>
  </si>
  <si>
    <t>a</t>
  </si>
  <si>
    <t>Horas trabalhadas:</t>
  </si>
  <si>
    <t>Nome:</t>
  </si>
  <si>
    <t>Helbert William Duarte Teixeira</t>
  </si>
  <si>
    <t>Regime:</t>
  </si>
  <si>
    <t>PJ</t>
  </si>
  <si>
    <t>Usuário:</t>
  </si>
  <si>
    <t>william.duarte</t>
  </si>
  <si>
    <t>HORAS DE SERVIÇO</t>
  </si>
  <si>
    <t>Total de horas úteis</t>
  </si>
  <si>
    <t>Saldo</t>
  </si>
  <si>
    <t xml:space="preserve">Nome:  </t>
  </si>
  <si>
    <t xml:space="preserve">Projeto: </t>
  </si>
  <si>
    <t>x</t>
  </si>
  <si>
    <t>Dia</t>
  </si>
  <si>
    <t>Entr.</t>
  </si>
  <si>
    <t>Saída</t>
  </si>
  <si>
    <t>Geral</t>
  </si>
  <si>
    <t>Observações</t>
  </si>
  <si>
    <t>Banco</t>
  </si>
  <si>
    <t>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</si>
</sst>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yyyy"/>
    <numFmt numFmtId="166" formatCode="[$-F400]h:mm:ss\ AM/PM"/>
  </numFmts>
  <fonts count="16"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9"/>
      <name val="Verdana"/>
      <family val="2"/>
    </font>
    <font>
      <sz val="9"/>
      <name val="Verdana"/>
      <family val="2"/>
    </font>
    <font>
      <sz val="9"/>
      <color indexed="12"/>
      <name val="Verdana"/>
      <family val="2"/>
    </font>
    <font>
      <sz val="9"/>
      <color indexed="8"/>
      <name val="Verdana"/>
      <family val="2"/>
    </font>
    <font>
      <u/>
      <sz val="9"/>
      <name val="Verdana"/>
      <family val="2"/>
    </font>
    <font>
      <b/>
      <sz val="9"/>
      <color theme="0"/>
      <name val="Verdana"/>
      <family val="2"/>
    </font>
    <font>
      <b/>
      <sz val="10"/>
      <color theme="0"/>
      <name val="Verdana"/>
      <family val="2"/>
    </font>
    <font>
      <sz val="9"/>
      <color rgb="FF0066FF"/>
      <name val="Verdana"/>
      <family val="2"/>
    </font>
    <font>
      <u/>
      <sz val="9"/>
      <color rgb="FF0066FF"/>
      <name val="Verdana"/>
      <family val="2"/>
    </font>
    <font>
      <b/>
      <sz val="14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2" tint="-0.249977111117893"/>
        <bgColor indexed="31"/>
      </patternFill>
    </fill>
    <fill>
      <patternFill patternType="solid">
        <fgColor theme="5"/>
        <bgColor indexed="3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double">
        <color indexed="22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63"/>
      </left>
      <right style="double">
        <color indexed="22"/>
      </right>
      <top style="hair">
        <color indexed="63"/>
      </top>
      <bottom style="hair">
        <color indexed="63"/>
      </bottom>
      <diagonal/>
    </border>
    <border>
      <left style="medium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/>
      <top style="hair">
        <color indexed="63"/>
      </top>
      <bottom style="hair">
        <color indexed="63"/>
      </bottom>
      <diagonal/>
    </border>
    <border>
      <left style="medium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63"/>
      </left>
      <right style="double">
        <color indexed="22"/>
      </right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3"/>
      </right>
      <top/>
      <bottom/>
      <diagonal/>
    </border>
    <border>
      <left style="hair">
        <color indexed="63"/>
      </left>
      <right style="hair">
        <color indexed="63"/>
      </right>
      <top/>
      <bottom/>
      <diagonal/>
    </border>
    <border>
      <left style="hair">
        <color indexed="63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16" fontId="5" fillId="0" borderId="6" xfId="0" applyNumberFormat="1" applyFont="1" applyBorder="1" applyAlignment="1">
      <alignment horizontal="center" vertical="center"/>
    </xf>
    <xf numFmtId="20" fontId="3" fillId="2" borderId="2" xfId="0" applyNumberFormat="1" applyFont="1" applyFill="1" applyBorder="1" applyAlignment="1" applyProtection="1">
      <alignment horizontal="center" vertical="center"/>
      <protection locked="0"/>
    </xf>
    <xf numFmtId="20" fontId="3" fillId="2" borderId="4" xfId="0" applyNumberFormat="1" applyFont="1" applyFill="1" applyBorder="1" applyAlignment="1" applyProtection="1">
      <alignment horizontal="center" vertical="center"/>
      <protection locked="0"/>
    </xf>
    <xf numFmtId="166" fontId="3" fillId="0" borderId="0" xfId="0" applyNumberFormat="1" applyFont="1" applyAlignment="1">
      <alignment horizontal="center" vertical="center"/>
    </xf>
    <xf numFmtId="20" fontId="3" fillId="0" borderId="2" xfId="0" applyNumberFormat="1" applyFont="1" applyBorder="1" applyAlignment="1" applyProtection="1">
      <alignment horizontal="center" vertical="center"/>
      <protection locked="0"/>
    </xf>
    <xf numFmtId="20" fontId="3" fillId="0" borderId="4" xfId="0" applyNumberFormat="1" applyFont="1" applyBorder="1" applyAlignment="1" applyProtection="1">
      <alignment horizontal="center" vertical="center"/>
      <protection locked="0"/>
    </xf>
    <xf numFmtId="16" fontId="3" fillId="0" borderId="6" xfId="0" applyNumberFormat="1" applyFont="1" applyBorder="1" applyAlignment="1">
      <alignment horizontal="center" vertical="center"/>
    </xf>
    <xf numFmtId="20" fontId="6" fillId="2" borderId="4" xfId="0" applyNumberFormat="1" applyFont="1" applyFill="1" applyBorder="1" applyAlignment="1" applyProtection="1">
      <alignment horizontal="center" vertical="center"/>
      <protection locked="0"/>
    </xf>
    <xf numFmtId="20" fontId="3" fillId="0" borderId="0" xfId="0" applyNumberFormat="1" applyFont="1" applyAlignment="1" applyProtection="1">
      <alignment horizontal="center" vertical="center"/>
      <protection locked="0"/>
    </xf>
    <xf numFmtId="164" fontId="2" fillId="6" borderId="7" xfId="0" applyNumberFormat="1" applyFont="1" applyFill="1" applyBorder="1" applyAlignment="1" applyProtection="1">
      <alignment horizontal="center" vertical="center"/>
      <protection locked="0"/>
    </xf>
    <xf numFmtId="165" fontId="2" fillId="6" borderId="10" xfId="0" applyNumberFormat="1" applyFont="1" applyFill="1" applyBorder="1" applyAlignment="1">
      <alignment horizontal="center" vertical="center"/>
    </xf>
    <xf numFmtId="2" fontId="3" fillId="5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" fontId="5" fillId="0" borderId="17" xfId="0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20" fontId="7" fillId="3" borderId="5" xfId="0" applyNumberFormat="1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2" fillId="0" borderId="19" xfId="0" applyFont="1" applyBorder="1" applyAlignment="1">
      <alignment vertical="center"/>
    </xf>
    <xf numFmtId="1" fontId="3" fillId="0" borderId="20" xfId="0" applyNumberFormat="1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20" fontId="9" fillId="2" borderId="4" xfId="0" applyNumberFormat="1" applyFont="1" applyFill="1" applyBorder="1" applyAlignment="1" applyProtection="1">
      <alignment horizontal="center" vertical="center"/>
      <protection locked="0"/>
    </xf>
    <xf numFmtId="20" fontId="9" fillId="0" borderId="4" xfId="0" applyNumberFormat="1" applyFont="1" applyBorder="1" applyAlignment="1" applyProtection="1">
      <alignment horizontal="center" vertical="center"/>
      <protection locked="0"/>
    </xf>
    <xf numFmtId="20" fontId="10" fillId="2" borderId="4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2" fillId="8" borderId="28" xfId="0" applyFont="1" applyFill="1" applyBorder="1"/>
    <xf numFmtId="0" fontId="12" fillId="8" borderId="29" xfId="0" applyFont="1" applyFill="1" applyBorder="1"/>
    <xf numFmtId="0" fontId="12" fillId="8" borderId="30" xfId="0" applyFont="1" applyFill="1" applyBorder="1"/>
    <xf numFmtId="0" fontId="12" fillId="8" borderId="31" xfId="0" applyFont="1" applyFill="1" applyBorder="1"/>
    <xf numFmtId="14" fontId="13" fillId="0" borderId="32" xfId="0" applyNumberFormat="1" applyFont="1" applyBorder="1" applyAlignment="1">
      <alignment horizontal="center" vertical="center"/>
    </xf>
    <xf numFmtId="2" fontId="13" fillId="0" borderId="29" xfId="0" applyNumberFormat="1" applyFont="1" applyBorder="1"/>
    <xf numFmtId="0" fontId="13" fillId="0" borderId="32" xfId="0" applyFont="1" applyBorder="1" applyAlignment="1">
      <alignment horizontal="center" vertical="center"/>
    </xf>
    <xf numFmtId="14" fontId="13" fillId="0" borderId="28" xfId="0" applyNumberFormat="1" applyFont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0" borderId="28" xfId="0" applyFont="1" applyBorder="1"/>
    <xf numFmtId="0" fontId="12" fillId="0" borderId="0" xfId="0" applyFont="1"/>
    <xf numFmtId="20" fontId="6" fillId="0" borderId="4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vertical="center"/>
    </xf>
    <xf numFmtId="0" fontId="3" fillId="9" borderId="24" xfId="0" applyFont="1" applyFill="1" applyBorder="1" applyAlignment="1">
      <alignment vertical="center"/>
    </xf>
    <xf numFmtId="0" fontId="3" fillId="9" borderId="25" xfId="0" applyFont="1" applyFill="1" applyBorder="1" applyAlignment="1">
      <alignment vertical="center"/>
    </xf>
    <xf numFmtId="0" fontId="3" fillId="9" borderId="26" xfId="0" applyFont="1" applyFill="1" applyBorder="1" applyAlignment="1">
      <alignment vertical="center"/>
    </xf>
    <xf numFmtId="0" fontId="3" fillId="9" borderId="24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5" fillId="0" borderId="19" xfId="0" applyFont="1" applyBorder="1" applyAlignment="1">
      <alignment vertical="center"/>
    </xf>
    <xf numFmtId="0" fontId="12" fillId="8" borderId="36" xfId="0" applyFont="1" applyFill="1" applyBorder="1"/>
    <xf numFmtId="0" fontId="15" fillId="0" borderId="19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164" fontId="2" fillId="6" borderId="15" xfId="0" applyNumberFormat="1" applyFont="1" applyFill="1" applyBorder="1" applyAlignment="1" applyProtection="1">
      <alignment horizontal="center" vertical="center"/>
      <protection locked="0"/>
    </xf>
    <xf numFmtId="165" fontId="2" fillId="6" borderId="14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</cellXfs>
  <cellStyles count="2">
    <cellStyle name="Normal" xfId="0" builtinId="0"/>
    <cellStyle name="Normal 2" xfId="1" xr:uid="{E5AB0565-45DC-4280-B286-CD845D794057}"/>
  </cellStyles>
  <dxfs count="42"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07FC-0AB3-42FF-AB33-EE7F4C3E99B7}">
  <dimension ref="A1:O16"/>
  <sheetViews>
    <sheetView workbookViewId="0">
      <selection activeCell="A7" sqref="A7"/>
    </sheetView>
  </sheetViews>
  <sheetFormatPr baseColWidth="10" defaultColWidth="9.19921875" defaultRowHeight="13"/>
  <cols>
    <col min="1" max="1" width="28.19921875" customWidth="1"/>
    <col min="2" max="2" width="21.3984375" bestFit="1" customWidth="1"/>
    <col min="3" max="15" width="15.3984375" bestFit="1" customWidth="1"/>
  </cols>
  <sheetData>
    <row r="1" spans="1:15" ht="12.7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2.7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>
      <c r="A3" s="43" t="s">
        <v>1</v>
      </c>
      <c r="B3" s="44" t="s">
        <v>2</v>
      </c>
      <c r="C3" s="44" t="s">
        <v>3</v>
      </c>
      <c r="D3" s="45" t="s">
        <v>4</v>
      </c>
      <c r="E3" s="46" t="s">
        <v>5</v>
      </c>
      <c r="F3" s="46" t="s">
        <v>6</v>
      </c>
      <c r="G3" s="46" t="s">
        <v>7</v>
      </c>
      <c r="H3" s="46" t="s">
        <v>8</v>
      </c>
      <c r="I3" s="46" t="s">
        <v>9</v>
      </c>
      <c r="J3" s="46" t="s">
        <v>10</v>
      </c>
      <c r="K3" s="46" t="s">
        <v>11</v>
      </c>
      <c r="L3" s="46" t="s">
        <v>12</v>
      </c>
      <c r="M3" s="46" t="s">
        <v>13</v>
      </c>
      <c r="N3" s="46" t="s">
        <v>14</v>
      </c>
      <c r="O3" s="43" t="s">
        <v>15</v>
      </c>
    </row>
    <row r="4" spans="1:15" ht="12.75" customHeight="1">
      <c r="A4" s="47">
        <v>45658</v>
      </c>
      <c r="B4" s="44" t="s">
        <v>16</v>
      </c>
      <c r="C4" s="48">
        <f>SUM(D4:O4)</f>
        <v>2008</v>
      </c>
      <c r="D4" s="48">
        <f>'Janeiro - 2025'!H5</f>
        <v>176</v>
      </c>
      <c r="E4" s="48">
        <f>'Fevereiro - 2025'!H5</f>
        <v>160</v>
      </c>
      <c r="F4" s="48">
        <f>'Março - 2025'!H5</f>
        <v>160</v>
      </c>
      <c r="G4" s="48">
        <f>'Abril - 2025'!H5</f>
        <v>160</v>
      </c>
      <c r="H4" s="48">
        <f>'Maio - 2025'!H5</f>
        <v>160</v>
      </c>
      <c r="I4" s="48">
        <f>'Junho - 2025'!H5</f>
        <v>160</v>
      </c>
      <c r="J4" s="48">
        <f>'Julho - 2025'!H5</f>
        <v>184</v>
      </c>
      <c r="K4" s="48">
        <f>'Agosto - 2025'!H5</f>
        <v>168</v>
      </c>
      <c r="L4" s="48">
        <f>'Setembro - 2025'!H5</f>
        <v>168</v>
      </c>
      <c r="M4" s="48">
        <f>'Outubro - 2025'!H5</f>
        <v>184</v>
      </c>
      <c r="N4" s="48">
        <f>'Novembro - 2025'!H5</f>
        <v>152</v>
      </c>
      <c r="O4" s="48">
        <f>'Dezembro - 2025'!H5</f>
        <v>176</v>
      </c>
    </row>
    <row r="5" spans="1:15">
      <c r="A5" s="49" t="s">
        <v>17</v>
      </c>
      <c r="B5" s="44" t="s">
        <v>18</v>
      </c>
      <c r="C5" s="48">
        <f>SUM(D5:O5)</f>
        <v>362</v>
      </c>
      <c r="D5" s="48">
        <f>'Janeiro - 2025'!J44</f>
        <v>152</v>
      </c>
      <c r="E5" s="48">
        <f>'Fevereiro - 2025'!J41</f>
        <v>162</v>
      </c>
      <c r="F5" s="48">
        <f>'Março - 2025'!J44</f>
        <v>48</v>
      </c>
      <c r="G5" s="48">
        <f>'Abril - 2025'!J43</f>
        <v>0</v>
      </c>
      <c r="H5" s="48">
        <f>'Maio - 2025'!J44</f>
        <v>0</v>
      </c>
      <c r="I5" s="48">
        <f>'Junho - 2025'!J43</f>
        <v>0</v>
      </c>
      <c r="J5" s="48">
        <f>'Julho - 2025'!J44</f>
        <v>0</v>
      </c>
      <c r="K5" s="48">
        <f>'Agosto - 2025'!J44</f>
        <v>0</v>
      </c>
      <c r="L5" s="48">
        <f>'Setembro - 2025'!J43</f>
        <v>0</v>
      </c>
      <c r="M5" s="48">
        <f>'Outubro - 2025'!J44</f>
        <v>0</v>
      </c>
      <c r="N5" s="48">
        <f>'Novembro - 2025'!J43</f>
        <v>0</v>
      </c>
      <c r="O5" s="48">
        <f>'Dezembro - 2025'!J44</f>
        <v>0</v>
      </c>
    </row>
    <row r="6" spans="1:15" ht="12.75" customHeight="1">
      <c r="A6" s="50">
        <v>46022</v>
      </c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</row>
    <row r="7" spans="1:15" ht="14">
      <c r="A7" s="43" t="s">
        <v>19</v>
      </c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</row>
    <row r="8" spans="1:15" ht="12.75" customHeight="1">
      <c r="A8" s="65" t="s">
        <v>20</v>
      </c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</row>
    <row r="9" spans="1:15" ht="14">
      <c r="A9" s="43" t="s">
        <v>21</v>
      </c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</row>
    <row r="10" spans="1:15" ht="14">
      <c r="A10" s="53" t="s">
        <v>22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</row>
    <row r="11" spans="1:15">
      <c r="A11" s="66" t="s">
        <v>23</v>
      </c>
      <c r="B11" s="54"/>
      <c r="C11" s="52"/>
      <c r="D11" s="52"/>
      <c r="E11" s="54"/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spans="1:15" ht="15">
      <c r="A12" s="67" t="s">
        <v>24</v>
      </c>
      <c r="B12" s="54"/>
      <c r="C12" s="52"/>
      <c r="D12" s="52"/>
      <c r="E12" s="54"/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spans="1:15" ht="12.75" customHeight="1">
      <c r="A13" s="54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</row>
    <row r="16" spans="1:15" ht="12.75" customHeight="1"/>
  </sheetData>
  <mergeCells count="1">
    <mergeCell ref="A1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zoomScaleNormal="100" workbookViewId="0">
      <selection activeCell="C18" sqref="C18:F22"/>
    </sheetView>
  </sheetViews>
  <sheetFormatPr baseColWidth="10" defaultColWidth="9.796875" defaultRowHeight="12"/>
  <cols>
    <col min="1" max="9" width="9.796875" style="4"/>
    <col min="10" max="10" width="12" style="2" customWidth="1"/>
    <col min="11" max="11" width="21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13.5" customHeight="1" thickBot="1">
      <c r="A4" s="1" t="s">
        <v>1</v>
      </c>
      <c r="B4" s="16">
        <v>45658</v>
      </c>
      <c r="C4" s="72" t="s">
        <v>17</v>
      </c>
      <c r="D4" s="73">
        <v>45688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45658</v>
      </c>
      <c r="C5" s="72"/>
      <c r="D5" s="74">
        <f>D4</f>
        <v>45688</v>
      </c>
      <c r="E5" s="74"/>
      <c r="H5" s="78">
        <f>22*8</f>
        <v>176</v>
      </c>
      <c r="I5" s="79"/>
      <c r="J5" s="31">
        <f>J44-H5</f>
        <v>-24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Sumário!A8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60" t="s">
        <v>30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45658</v>
      </c>
      <c r="B13" s="34" t="str">
        <f>IF(A13=0,0,MID("DOMSegTerQuaQuiSexSAB",3*WEEKDAY(A13)-2,3))</f>
        <v>Qua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3" si="0">IF(A13&gt;=$D$4,0,IF(A13=0,0,1+A13))</f>
        <v>45659</v>
      </c>
      <c r="B14" s="62" t="str">
        <f t="shared" ref="B14:B42" si="1">IF(A14=0,0,MID("DOMSegTerQuaQuiSexSAB",3*WEEKDAY(A14)-2,3))</f>
        <v>Qui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 t="s">
        <v>36</v>
      </c>
    </row>
    <row r="15" spans="1:11">
      <c r="A15" s="7">
        <f t="shared" si="0"/>
        <v>45660</v>
      </c>
      <c r="B15" s="62" t="str">
        <f t="shared" si="1"/>
        <v>Sex</v>
      </c>
      <c r="C15" s="8"/>
      <c r="D15" s="8"/>
      <c r="E15" s="9"/>
      <c r="F15" s="9"/>
      <c r="G15" s="9"/>
      <c r="H15" s="9"/>
      <c r="I15" s="8"/>
      <c r="J15" s="5">
        <f t="shared" ref="J15:J43" si="2">(D15-C15+F15-E15+H15-G15)*24</f>
        <v>0</v>
      </c>
      <c r="K15" s="35" t="s">
        <v>36</v>
      </c>
    </row>
    <row r="16" spans="1:11">
      <c r="A16" s="7">
        <f t="shared" si="0"/>
        <v>45661</v>
      </c>
      <c r="B16" s="62" t="str">
        <f t="shared" si="1"/>
        <v>SAB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>
      <c r="A17" s="7">
        <f t="shared" si="0"/>
        <v>45662</v>
      </c>
      <c r="B17" s="62" t="str">
        <f t="shared" si="1"/>
        <v>DOM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</row>
    <row r="18" spans="1:11">
      <c r="A18" s="7">
        <f t="shared" si="0"/>
        <v>45663</v>
      </c>
      <c r="B18" s="62" t="str">
        <f t="shared" si="1"/>
        <v>Seg</v>
      </c>
      <c r="C18" s="8">
        <v>0.33333333333333331</v>
      </c>
      <c r="D18" s="8">
        <v>0.5</v>
      </c>
      <c r="E18" s="9">
        <v>0.54166666666666663</v>
      </c>
      <c r="F18" s="9">
        <v>0.70833333333333337</v>
      </c>
      <c r="G18" s="9"/>
      <c r="H18" s="9"/>
      <c r="I18" s="8"/>
      <c r="J18" s="5">
        <f t="shared" si="2"/>
        <v>8</v>
      </c>
      <c r="K18" s="35"/>
    </row>
    <row r="19" spans="1:11">
      <c r="A19" s="7">
        <f t="shared" si="0"/>
        <v>45664</v>
      </c>
      <c r="B19" s="61" t="str">
        <f t="shared" si="1"/>
        <v>Ter</v>
      </c>
      <c r="C19" s="8">
        <v>0.33333333333333331</v>
      </c>
      <c r="D19" s="8">
        <v>0.5</v>
      </c>
      <c r="E19" s="9">
        <v>0.54166666666666663</v>
      </c>
      <c r="F19" s="9">
        <v>0.70833333333333337</v>
      </c>
      <c r="G19" s="12"/>
      <c r="H19" s="12"/>
      <c r="I19" s="11"/>
      <c r="J19" s="5">
        <f t="shared" si="2"/>
        <v>8</v>
      </c>
      <c r="K19" s="36"/>
    </row>
    <row r="20" spans="1:11">
      <c r="A20" s="7">
        <f t="shared" si="0"/>
        <v>45665</v>
      </c>
      <c r="B20" s="61" t="str">
        <f t="shared" si="1"/>
        <v>Qua</v>
      </c>
      <c r="C20" s="8">
        <v>0.33333333333333331</v>
      </c>
      <c r="D20" s="8">
        <v>0.5</v>
      </c>
      <c r="E20" s="9">
        <v>0.54166666666666663</v>
      </c>
      <c r="F20" s="9">
        <v>0.70833333333333337</v>
      </c>
      <c r="G20" s="9"/>
      <c r="H20" s="9"/>
      <c r="I20" s="8"/>
      <c r="J20" s="5">
        <f t="shared" si="2"/>
        <v>8</v>
      </c>
      <c r="K20" s="35"/>
    </row>
    <row r="21" spans="1:11">
      <c r="A21" s="7">
        <f t="shared" si="0"/>
        <v>45666</v>
      </c>
      <c r="B21" s="62" t="str">
        <f t="shared" si="1"/>
        <v>Qui</v>
      </c>
      <c r="C21" s="8">
        <v>0.33333333333333331</v>
      </c>
      <c r="D21" s="8">
        <v>0.5</v>
      </c>
      <c r="E21" s="9">
        <v>0.54166666666666663</v>
      </c>
      <c r="F21" s="9">
        <v>0.70833333333333337</v>
      </c>
      <c r="G21" s="9"/>
      <c r="H21" s="9"/>
      <c r="I21" s="8"/>
      <c r="J21" s="5">
        <f t="shared" si="2"/>
        <v>8</v>
      </c>
      <c r="K21" s="35"/>
    </row>
    <row r="22" spans="1:11">
      <c r="A22" s="7">
        <f t="shared" si="0"/>
        <v>45667</v>
      </c>
      <c r="B22" s="62" t="str">
        <f t="shared" si="1"/>
        <v>Sex</v>
      </c>
      <c r="C22" s="8">
        <v>0.33333333333333331</v>
      </c>
      <c r="D22" s="8">
        <v>0.5</v>
      </c>
      <c r="E22" s="9">
        <v>0.54166666666666663</v>
      </c>
      <c r="F22" s="9">
        <v>0.70833333333333337</v>
      </c>
      <c r="G22" s="9"/>
      <c r="H22" s="9"/>
      <c r="I22" s="8"/>
      <c r="J22" s="5">
        <f t="shared" si="2"/>
        <v>8</v>
      </c>
      <c r="K22" s="35"/>
    </row>
    <row r="23" spans="1:11">
      <c r="A23" s="7">
        <f t="shared" si="0"/>
        <v>45668</v>
      </c>
      <c r="B23" s="62" t="str">
        <f t="shared" si="1"/>
        <v>SAB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>
      <c r="A24" s="13">
        <f t="shared" si="0"/>
        <v>45669</v>
      </c>
      <c r="B24" s="63" t="str">
        <f t="shared" si="1"/>
        <v>DOM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>
      <c r="A25" s="13">
        <f t="shared" si="0"/>
        <v>45670</v>
      </c>
      <c r="B25" s="63" t="str">
        <f t="shared" si="1"/>
        <v>Seg</v>
      </c>
      <c r="C25" s="8">
        <v>0.33333333333333331</v>
      </c>
      <c r="D25" s="8">
        <v>0.5</v>
      </c>
      <c r="E25" s="9">
        <v>0.54166666666666663</v>
      </c>
      <c r="F25" s="9">
        <v>0.70833333333333337</v>
      </c>
      <c r="G25" s="9"/>
      <c r="H25" s="9"/>
      <c r="I25" s="8"/>
      <c r="J25" s="5">
        <f t="shared" si="2"/>
        <v>8</v>
      </c>
      <c r="K25" s="35"/>
    </row>
    <row r="26" spans="1:11">
      <c r="A26" s="7">
        <f t="shared" si="0"/>
        <v>45671</v>
      </c>
      <c r="B26" s="61" t="str">
        <f t="shared" si="1"/>
        <v>Ter</v>
      </c>
      <c r="C26" s="8">
        <v>0.33333333333333331</v>
      </c>
      <c r="D26" s="8">
        <v>0.5</v>
      </c>
      <c r="E26" s="9">
        <v>0.54166666666666663</v>
      </c>
      <c r="F26" s="9">
        <v>0.70833333333333337</v>
      </c>
      <c r="G26" s="9"/>
      <c r="H26" s="9"/>
      <c r="I26" s="8"/>
      <c r="J26" s="5">
        <f t="shared" si="2"/>
        <v>8</v>
      </c>
      <c r="K26" s="35"/>
    </row>
    <row r="27" spans="1:11">
      <c r="A27" s="7">
        <f t="shared" si="0"/>
        <v>45672</v>
      </c>
      <c r="B27" s="61" t="str">
        <f t="shared" si="1"/>
        <v>Qua</v>
      </c>
      <c r="C27" s="8">
        <v>0.33333333333333331</v>
      </c>
      <c r="D27" s="8">
        <v>0.5</v>
      </c>
      <c r="E27" s="9">
        <v>0.54166666666666663</v>
      </c>
      <c r="F27" s="9">
        <v>0.70833333333333337</v>
      </c>
      <c r="G27" s="14"/>
      <c r="H27" s="9"/>
      <c r="I27" s="8"/>
      <c r="J27" s="5">
        <f t="shared" si="2"/>
        <v>8</v>
      </c>
      <c r="K27" s="37"/>
    </row>
    <row r="28" spans="1:11">
      <c r="A28" s="7">
        <f t="shared" si="0"/>
        <v>45673</v>
      </c>
      <c r="B28" s="62" t="str">
        <f t="shared" si="1"/>
        <v>Qui</v>
      </c>
      <c r="C28" s="8">
        <v>0.33333333333333331</v>
      </c>
      <c r="D28" s="8">
        <v>0.5</v>
      </c>
      <c r="E28" s="9">
        <v>0.54166666666666663</v>
      </c>
      <c r="F28" s="9">
        <v>0.70833333333333337</v>
      </c>
      <c r="G28" s="9"/>
      <c r="H28" s="9"/>
      <c r="I28" s="8"/>
      <c r="J28" s="5">
        <f t="shared" si="2"/>
        <v>8</v>
      </c>
      <c r="K28" s="35"/>
    </row>
    <row r="29" spans="1:11">
      <c r="A29" s="7">
        <f t="shared" si="0"/>
        <v>45674</v>
      </c>
      <c r="B29" s="62" t="str">
        <f t="shared" si="1"/>
        <v>Sex</v>
      </c>
      <c r="C29" s="8">
        <v>0.33333333333333331</v>
      </c>
      <c r="D29" s="8">
        <v>0.5</v>
      </c>
      <c r="E29" s="9">
        <v>0.54166666666666663</v>
      </c>
      <c r="F29" s="9">
        <v>0.70833333333333337</v>
      </c>
      <c r="G29" s="9"/>
      <c r="H29" s="9"/>
      <c r="I29" s="8"/>
      <c r="J29" s="5">
        <f t="shared" si="2"/>
        <v>8</v>
      </c>
      <c r="K29" s="35"/>
    </row>
    <row r="30" spans="1:11">
      <c r="A30" s="7">
        <f t="shared" si="0"/>
        <v>45675</v>
      </c>
      <c r="B30" s="62" t="str">
        <f t="shared" si="1"/>
        <v>SAB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1">
      <c r="A31" s="7">
        <f t="shared" si="0"/>
        <v>45676</v>
      </c>
      <c r="B31" s="62" t="str">
        <f t="shared" si="1"/>
        <v>DOM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45677</v>
      </c>
      <c r="B32" s="62" t="str">
        <f t="shared" si="1"/>
        <v>Seg</v>
      </c>
      <c r="C32" s="8">
        <v>0.33333333333333331</v>
      </c>
      <c r="D32" s="8">
        <v>0.5</v>
      </c>
      <c r="E32" s="9">
        <v>0.54166666666666663</v>
      </c>
      <c r="F32" s="9">
        <v>0.70833333333333337</v>
      </c>
      <c r="G32" s="9"/>
      <c r="H32" s="9"/>
      <c r="I32" s="8"/>
      <c r="J32" s="5">
        <f t="shared" si="2"/>
        <v>8</v>
      </c>
      <c r="K32" s="35"/>
    </row>
    <row r="33" spans="1:11">
      <c r="A33" s="7">
        <f t="shared" si="0"/>
        <v>45678</v>
      </c>
      <c r="B33" s="61" t="str">
        <f t="shared" si="1"/>
        <v>Ter</v>
      </c>
      <c r="C33" s="8">
        <v>0.33333333333333331</v>
      </c>
      <c r="D33" s="8">
        <v>0.5</v>
      </c>
      <c r="E33" s="9">
        <v>0.54166666666666663</v>
      </c>
      <c r="F33" s="9">
        <v>0.70833333333333337</v>
      </c>
      <c r="G33" s="9"/>
      <c r="H33" s="9"/>
      <c r="I33" s="8"/>
      <c r="J33" s="5">
        <f t="shared" si="2"/>
        <v>8</v>
      </c>
      <c r="K33" s="35"/>
    </row>
    <row r="34" spans="1:11">
      <c r="A34" s="7">
        <f t="shared" si="0"/>
        <v>45679</v>
      </c>
      <c r="B34" s="61" t="str">
        <f t="shared" si="1"/>
        <v>Qua</v>
      </c>
      <c r="C34" s="8">
        <v>0.33333333333333331</v>
      </c>
      <c r="D34" s="8">
        <v>0.5</v>
      </c>
      <c r="E34" s="9">
        <v>0.54166666666666663</v>
      </c>
      <c r="F34" s="9">
        <v>0.70833333333333337</v>
      </c>
      <c r="G34" s="9"/>
      <c r="H34" s="9"/>
      <c r="I34" s="8"/>
      <c r="J34" s="5">
        <f t="shared" si="2"/>
        <v>8</v>
      </c>
      <c r="K34" s="35"/>
    </row>
    <row r="35" spans="1:11">
      <c r="A35" s="7">
        <f t="shared" si="0"/>
        <v>45680</v>
      </c>
      <c r="B35" s="62" t="str">
        <f t="shared" si="1"/>
        <v>Qui</v>
      </c>
      <c r="C35" s="8">
        <v>0.33333333333333331</v>
      </c>
      <c r="D35" s="8">
        <v>0.5</v>
      </c>
      <c r="E35" s="9">
        <v>0.54166666666666663</v>
      </c>
      <c r="F35" s="9">
        <v>0.70833333333333337</v>
      </c>
      <c r="G35" s="9"/>
      <c r="H35" s="9"/>
      <c r="I35" s="8"/>
      <c r="J35" s="5">
        <f t="shared" si="2"/>
        <v>8</v>
      </c>
      <c r="K35" s="35"/>
    </row>
    <row r="36" spans="1:11">
      <c r="A36" s="7">
        <f t="shared" si="0"/>
        <v>45681</v>
      </c>
      <c r="B36" s="62" t="str">
        <f t="shared" si="1"/>
        <v>Sex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45682</v>
      </c>
      <c r="B37" s="62" t="str">
        <f t="shared" si="1"/>
        <v>SAB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45683</v>
      </c>
      <c r="B38" s="62" t="str">
        <f t="shared" si="1"/>
        <v>DOM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45684</v>
      </c>
      <c r="B39" s="62" t="str">
        <f t="shared" si="1"/>
        <v>Seg</v>
      </c>
      <c r="C39" s="8">
        <v>0.33333333333333331</v>
      </c>
      <c r="D39" s="8">
        <v>0.5</v>
      </c>
      <c r="E39" s="9">
        <v>0.54166666666666663</v>
      </c>
      <c r="F39" s="9">
        <v>0.70833333333333337</v>
      </c>
      <c r="G39" s="9"/>
      <c r="H39" s="9"/>
      <c r="I39" s="8"/>
      <c r="J39" s="5">
        <f t="shared" si="2"/>
        <v>8</v>
      </c>
      <c r="K39" s="35"/>
    </row>
    <row r="40" spans="1:11">
      <c r="A40" s="7">
        <f t="shared" si="0"/>
        <v>45685</v>
      </c>
      <c r="B40" s="62" t="str">
        <f>IF(A40=0,0,MID("DOMSegTerQuaQuiSexSAB",3*WEEKDAY(A40)-2,3))</f>
        <v>Ter</v>
      </c>
      <c r="C40" s="8">
        <v>0.33333333333333331</v>
      </c>
      <c r="D40" s="8">
        <v>0.5</v>
      </c>
      <c r="E40" s="9">
        <v>0.54166666666666663</v>
      </c>
      <c r="F40" s="9">
        <v>0.70833333333333337</v>
      </c>
      <c r="G40" s="9"/>
      <c r="H40" s="9"/>
      <c r="I40" s="8"/>
      <c r="J40" s="5">
        <f>(D40-C40+F40-E40+H40-G40)*24</f>
        <v>8</v>
      </c>
      <c r="K40" s="35"/>
    </row>
    <row r="41" spans="1:11">
      <c r="A41" s="7">
        <f t="shared" si="0"/>
        <v>45686</v>
      </c>
      <c r="B41" s="62" t="str">
        <f t="shared" si="1"/>
        <v>Qua</v>
      </c>
      <c r="C41" s="8">
        <v>0.33333333333333331</v>
      </c>
      <c r="D41" s="8">
        <v>0.5</v>
      </c>
      <c r="E41" s="9">
        <v>0.54166666666666663</v>
      </c>
      <c r="F41" s="9">
        <v>0.70833333333333337</v>
      </c>
      <c r="G41" s="9"/>
      <c r="H41" s="9"/>
      <c r="I41" s="8"/>
      <c r="J41" s="5">
        <f t="shared" si="2"/>
        <v>8</v>
      </c>
      <c r="K41" s="35"/>
    </row>
    <row r="42" spans="1:11">
      <c r="A42" s="7">
        <f t="shared" si="0"/>
        <v>45687</v>
      </c>
      <c r="B42" s="62" t="str">
        <f t="shared" si="1"/>
        <v>Qui</v>
      </c>
      <c r="C42" s="8">
        <v>0.33333333333333331</v>
      </c>
      <c r="D42" s="8">
        <v>0.5</v>
      </c>
      <c r="E42" s="9">
        <v>0.54166666666666663</v>
      </c>
      <c r="F42" s="9">
        <v>0.70833333333333337</v>
      </c>
      <c r="G42" s="9"/>
      <c r="H42" s="9"/>
      <c r="I42" s="8"/>
      <c r="J42" s="5">
        <f t="shared" si="2"/>
        <v>8</v>
      </c>
      <c r="K42" s="35"/>
    </row>
    <row r="43" spans="1:11" ht="13" thickBot="1">
      <c r="A43" s="7">
        <f t="shared" si="0"/>
        <v>45688</v>
      </c>
      <c r="B43" s="62" t="str">
        <f>IF(A43=0,0,MID("DOMSegTerQuaQuiSexSAB",3*WEEKDAY(A43)-2,3))</f>
        <v>Sex</v>
      </c>
      <c r="C43" s="8">
        <v>0.33333333333333331</v>
      </c>
      <c r="D43" s="8">
        <v>0.5</v>
      </c>
      <c r="E43" s="9">
        <v>0.54166666666666663</v>
      </c>
      <c r="F43" s="9">
        <v>0.70833333333333337</v>
      </c>
      <c r="G43" s="9"/>
      <c r="H43" s="9"/>
      <c r="I43" s="8"/>
      <c r="J43" s="5">
        <f t="shared" si="2"/>
        <v>8</v>
      </c>
      <c r="K43" s="35"/>
    </row>
    <row r="44" spans="1:11" ht="15" customHeight="1" thickBot="1">
      <c r="C44" s="15"/>
      <c r="D44" s="15"/>
      <c r="E44" s="15"/>
      <c r="F44" s="15"/>
      <c r="G44" s="15"/>
      <c r="H44" s="15"/>
      <c r="I44" s="15"/>
      <c r="J44" s="18">
        <f>SUM(J$13:J$43)</f>
        <v>152</v>
      </c>
    </row>
    <row r="45" spans="1:11" ht="13.25" customHeight="1">
      <c r="C45" s="15"/>
      <c r="D45" s="15"/>
      <c r="E45" s="15"/>
      <c r="F45" s="15"/>
      <c r="G45" s="15"/>
      <c r="H45" s="15"/>
      <c r="I45" s="15"/>
    </row>
  </sheetData>
  <sheetProtection selectLockedCells="1" selectUnlockedCells="1"/>
  <mergeCells count="7">
    <mergeCell ref="A12:B12"/>
    <mergeCell ref="C4:C5"/>
    <mergeCell ref="D4:E4"/>
    <mergeCell ref="D5:E5"/>
    <mergeCell ref="A1:K2"/>
    <mergeCell ref="H4:I4"/>
    <mergeCell ref="H5:I5"/>
  </mergeCells>
  <conditionalFormatting sqref="B13:B43">
    <cfRule type="containsText" dxfId="41" priority="1" stopIfTrue="1" operator="containsText" text="DOM">
      <formula>NOT(ISERROR(SEARCH("DOM",B13)))</formula>
    </cfRule>
    <cfRule type="containsText" dxfId="40" priority="2" stopIfTrue="1" operator="containsText" text="SAB">
      <formula>NOT(ISERROR(SEARCH("SAB",B13)))</formula>
    </cfRule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CCEE-8AD9-4B1B-B9C3-96E0F2DEF0D1}">
  <dimension ref="A1:K42"/>
  <sheetViews>
    <sheetView topLeftCell="A9" zoomScale="140" zoomScaleNormal="140" workbookViewId="0">
      <selection activeCell="E40" sqref="E40"/>
    </sheetView>
  </sheetViews>
  <sheetFormatPr baseColWidth="10" defaultColWidth="9.796875" defaultRowHeight="12"/>
  <cols>
    <col min="1" max="3" width="9.796875" style="4"/>
    <col min="4" max="5" width="9.796875" style="4" customWidth="1"/>
    <col min="6" max="9" width="9.796875" style="4"/>
    <col min="10" max="10" width="11.59765625" style="2" customWidth="1"/>
    <col min="11" max="11" width="21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13.5" customHeight="1" thickBot="1">
      <c r="A4" s="1" t="s">
        <v>1</v>
      </c>
      <c r="B4" s="16">
        <v>45689</v>
      </c>
      <c r="C4" s="72" t="s">
        <v>17</v>
      </c>
      <c r="D4" s="80">
        <v>45716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45689</v>
      </c>
      <c r="C5" s="72"/>
      <c r="D5" s="81">
        <f>D4</f>
        <v>45716</v>
      </c>
      <c r="E5" s="74"/>
      <c r="H5" s="78">
        <f>20*8</f>
        <v>160</v>
      </c>
      <c r="I5" s="79"/>
      <c r="J5" s="31">
        <f>J41-H5</f>
        <v>2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'Janeiro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57" t="str">
        <f>'Janeiro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45689</v>
      </c>
      <c r="B13" s="64" t="str">
        <f>IF(A13=0,0,MID("DOMSegTerQuaQuiSexSAB",3*WEEKDAY(A13)-2,3))</f>
        <v>SAB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>IF(A13&gt;=$D$4,0,IF(A13=0,0,1+A13))</f>
        <v>45690</v>
      </c>
      <c r="B14" s="64" t="str">
        <f>IF(A14=0,0,MID("DOMSegTerQuaQuiSexSAB",3*WEEKDAY(A14)-2,3))</f>
        <v>DOM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ref="A15:A40" si="0">IF(A14&gt;=$D$4,0,IF(A14=0,0,1+A14))</f>
        <v>45691</v>
      </c>
      <c r="B15" s="64" t="str">
        <f t="shared" ref="B15:B16" si="1">IF(A15=0,0,MID("DOMSegTerQuaQuiSexSAB",3*WEEKDAY(A15)-2,3))</f>
        <v>Seg</v>
      </c>
      <c r="C15" s="8">
        <v>0.33333333333333331</v>
      </c>
      <c r="D15" s="8">
        <v>0.5</v>
      </c>
      <c r="E15" s="9">
        <v>0.54166666666666663</v>
      </c>
      <c r="F15" s="9">
        <v>0.70833333333333337</v>
      </c>
      <c r="G15" s="9"/>
      <c r="H15" s="9"/>
      <c r="I15" s="8"/>
      <c r="J15" s="5">
        <f t="shared" ref="J15:J40" si="2">(D15-C15+F15-E15+H15-G15)*24</f>
        <v>8</v>
      </c>
      <c r="K15" s="35"/>
    </row>
    <row r="16" spans="1:11">
      <c r="A16" s="7">
        <f t="shared" si="0"/>
        <v>45692</v>
      </c>
      <c r="B16" s="62" t="str">
        <f t="shared" si="1"/>
        <v>Ter</v>
      </c>
      <c r="C16" s="8">
        <v>0.33333333333333331</v>
      </c>
      <c r="D16" s="8">
        <v>0.5</v>
      </c>
      <c r="E16" s="9">
        <v>0.54166666666666663</v>
      </c>
      <c r="F16" s="9">
        <v>0.70833333333333337</v>
      </c>
      <c r="G16" s="9"/>
      <c r="H16" s="9"/>
      <c r="I16" s="8"/>
      <c r="J16" s="5">
        <f t="shared" si="2"/>
        <v>8</v>
      </c>
      <c r="K16" s="35"/>
    </row>
    <row r="17" spans="1:11">
      <c r="A17" s="7">
        <f t="shared" si="0"/>
        <v>45693</v>
      </c>
      <c r="B17" s="62" t="str">
        <f>IF(A17=0,0,MID("DOMSegTerQuaQuiSexSAB",3*WEEKDAY(A17)-2,3))</f>
        <v>Qua</v>
      </c>
      <c r="C17" s="8">
        <v>0.33333333333333331</v>
      </c>
      <c r="D17" s="8">
        <v>0.5</v>
      </c>
      <c r="E17" s="9">
        <v>0.54166666666666663</v>
      </c>
      <c r="F17" s="9">
        <v>0.70833333333333337</v>
      </c>
      <c r="G17" s="9"/>
      <c r="H17" s="9"/>
      <c r="I17" s="8"/>
      <c r="J17" s="5">
        <f>(D17-C17+F17-E17+H17-G17)*24</f>
        <v>8</v>
      </c>
      <c r="K17" s="35"/>
    </row>
    <row r="18" spans="1:11">
      <c r="A18" s="7">
        <f t="shared" si="0"/>
        <v>45694</v>
      </c>
      <c r="B18" s="64" t="str">
        <f>IF(A18=0,0,MID("DOMSegTerQuaQuiSexSAB",3*WEEKDAY(A18)-2,3))</f>
        <v>Qui</v>
      </c>
      <c r="C18" s="8">
        <v>0.33333333333333331</v>
      </c>
      <c r="D18" s="8">
        <v>0.5</v>
      </c>
      <c r="E18" s="9">
        <v>0.54166666666666663</v>
      </c>
      <c r="F18" s="9">
        <v>0.70833333333333337</v>
      </c>
      <c r="G18" s="9"/>
      <c r="H18" s="9"/>
      <c r="I18" s="8"/>
      <c r="J18" s="5">
        <f t="shared" si="2"/>
        <v>8</v>
      </c>
      <c r="K18" s="35"/>
    </row>
    <row r="19" spans="1:11">
      <c r="A19" s="7">
        <f t="shared" si="0"/>
        <v>45695</v>
      </c>
      <c r="B19" s="64" t="str">
        <f t="shared" ref="B19:B40" si="3">IF(A19=0,0,MID("DOMSegTerQuaQuiSexSAB",3*WEEKDAY(A19)-2,3))</f>
        <v>Sex</v>
      </c>
      <c r="C19" s="8">
        <v>0.33333333333333331</v>
      </c>
      <c r="D19" s="8">
        <v>0.5</v>
      </c>
      <c r="E19" s="9">
        <v>0.54166666666666663</v>
      </c>
      <c r="F19" s="9">
        <v>0.70833333333333337</v>
      </c>
      <c r="G19" s="12"/>
      <c r="H19" s="12"/>
      <c r="I19" s="11"/>
      <c r="J19" s="5">
        <f t="shared" si="2"/>
        <v>8</v>
      </c>
      <c r="K19" s="36"/>
    </row>
    <row r="20" spans="1:11">
      <c r="A20" s="7">
        <f t="shared" si="0"/>
        <v>45696</v>
      </c>
      <c r="B20" s="64" t="str">
        <f t="shared" si="3"/>
        <v>SAB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45697</v>
      </c>
      <c r="B21" s="64" t="str">
        <f t="shared" si="3"/>
        <v>DOM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45698</v>
      </c>
      <c r="B22" s="64" t="str">
        <f t="shared" si="3"/>
        <v>Seg</v>
      </c>
      <c r="C22" s="8">
        <v>0.33333333333333331</v>
      </c>
      <c r="D22" s="8">
        <v>0.5</v>
      </c>
      <c r="E22" s="9">
        <v>0.54166666666666663</v>
      </c>
      <c r="F22" s="9">
        <v>0.70833333333333337</v>
      </c>
      <c r="G22" s="9"/>
      <c r="H22" s="9"/>
      <c r="I22" s="8"/>
      <c r="J22" s="5">
        <f t="shared" si="2"/>
        <v>8</v>
      </c>
      <c r="K22" s="35"/>
    </row>
    <row r="23" spans="1:11">
      <c r="A23" s="7">
        <f t="shared" si="0"/>
        <v>45699</v>
      </c>
      <c r="B23" s="62" t="str">
        <f t="shared" si="3"/>
        <v>Ter</v>
      </c>
      <c r="C23" s="8">
        <v>0.33333333333333331</v>
      </c>
      <c r="D23" s="8">
        <v>0.5</v>
      </c>
      <c r="E23" s="9">
        <v>0.54166666666666663</v>
      </c>
      <c r="F23" s="9">
        <v>0.70833333333333337</v>
      </c>
      <c r="G23" s="9"/>
      <c r="H23" s="9"/>
      <c r="I23" s="8"/>
      <c r="J23" s="5">
        <f t="shared" si="2"/>
        <v>8</v>
      </c>
      <c r="K23" s="35"/>
    </row>
    <row r="24" spans="1:11">
      <c r="A24" s="7">
        <f t="shared" si="0"/>
        <v>45700</v>
      </c>
      <c r="B24" s="62" t="str">
        <f t="shared" si="3"/>
        <v>Qua</v>
      </c>
      <c r="C24" s="8">
        <v>0.33333333333333331</v>
      </c>
      <c r="D24" s="8">
        <v>0.5</v>
      </c>
      <c r="E24" s="9">
        <v>0.54166666666666663</v>
      </c>
      <c r="F24" s="9">
        <v>0.70833333333333337</v>
      </c>
      <c r="G24" s="9"/>
      <c r="H24" s="9"/>
      <c r="I24" s="8"/>
      <c r="J24" s="5">
        <f t="shared" si="2"/>
        <v>8</v>
      </c>
      <c r="K24" s="35"/>
    </row>
    <row r="25" spans="1:11">
      <c r="A25" s="7">
        <f t="shared" si="0"/>
        <v>45701</v>
      </c>
      <c r="B25" s="62" t="str">
        <f t="shared" si="3"/>
        <v>Qui</v>
      </c>
      <c r="C25" s="8">
        <v>0.33333333333333331</v>
      </c>
      <c r="D25" s="8">
        <v>0.5</v>
      </c>
      <c r="E25" s="9">
        <v>0.54166666666666663</v>
      </c>
      <c r="F25" s="9">
        <v>0.70833333333333337</v>
      </c>
      <c r="G25" s="9"/>
      <c r="H25" s="9"/>
      <c r="I25" s="8"/>
      <c r="J25" s="5">
        <f t="shared" si="2"/>
        <v>8</v>
      </c>
      <c r="K25" s="35"/>
    </row>
    <row r="26" spans="1:11">
      <c r="A26" s="7">
        <f t="shared" si="0"/>
        <v>45702</v>
      </c>
      <c r="B26" s="64" t="str">
        <f t="shared" si="3"/>
        <v>Sex</v>
      </c>
      <c r="C26" s="8">
        <v>0.33333333333333331</v>
      </c>
      <c r="D26" s="8">
        <v>0.5</v>
      </c>
      <c r="E26" s="9">
        <v>0.54166666666666663</v>
      </c>
      <c r="F26" s="9">
        <v>0.70833333333333337</v>
      </c>
      <c r="G26" s="9"/>
      <c r="H26" s="9"/>
      <c r="I26" s="8"/>
      <c r="J26" s="5">
        <f t="shared" si="2"/>
        <v>8</v>
      </c>
      <c r="K26" s="35"/>
    </row>
    <row r="27" spans="1:11">
      <c r="A27" s="7">
        <f t="shared" si="0"/>
        <v>45703</v>
      </c>
      <c r="B27" s="64" t="str">
        <f t="shared" si="3"/>
        <v>SAB</v>
      </c>
      <c r="C27" s="8"/>
      <c r="D27" s="8"/>
      <c r="E27" s="9"/>
      <c r="F27" s="9"/>
      <c r="G27" s="14"/>
      <c r="H27" s="9"/>
      <c r="I27" s="8"/>
      <c r="J27" s="5">
        <f t="shared" si="2"/>
        <v>0</v>
      </c>
      <c r="K27" s="37"/>
    </row>
    <row r="28" spans="1:11">
      <c r="A28" s="7">
        <f t="shared" si="0"/>
        <v>45704</v>
      </c>
      <c r="B28" s="64" t="str">
        <f t="shared" si="3"/>
        <v>DOM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45705</v>
      </c>
      <c r="B29" s="64" t="str">
        <f t="shared" si="3"/>
        <v>Seg</v>
      </c>
      <c r="C29" s="8">
        <v>0.33333333333333331</v>
      </c>
      <c r="D29" s="8">
        <v>0.5</v>
      </c>
      <c r="E29" s="9">
        <v>0.54166666666666663</v>
      </c>
      <c r="F29" s="9">
        <v>0.70833333333333337</v>
      </c>
      <c r="G29" s="9"/>
      <c r="H29" s="9"/>
      <c r="I29" s="8"/>
      <c r="J29" s="5">
        <f t="shared" si="2"/>
        <v>8</v>
      </c>
      <c r="K29" s="35"/>
    </row>
    <row r="30" spans="1:11">
      <c r="A30" s="7">
        <f t="shared" si="0"/>
        <v>45706</v>
      </c>
      <c r="B30" s="62" t="str">
        <f t="shared" si="3"/>
        <v>Ter</v>
      </c>
      <c r="C30" s="8">
        <v>0.33333333333333331</v>
      </c>
      <c r="D30" s="8">
        <v>0.5</v>
      </c>
      <c r="E30" s="9">
        <v>0.54166666666666663</v>
      </c>
      <c r="F30" s="9">
        <v>0.70833333333333337</v>
      </c>
      <c r="G30" s="9"/>
      <c r="H30" s="9"/>
      <c r="I30" s="8"/>
      <c r="J30" s="5">
        <f t="shared" si="2"/>
        <v>8</v>
      </c>
      <c r="K30" s="35"/>
    </row>
    <row r="31" spans="1:11">
      <c r="A31" s="7">
        <f t="shared" si="0"/>
        <v>45707</v>
      </c>
      <c r="B31" s="62" t="str">
        <f t="shared" si="3"/>
        <v>Qua</v>
      </c>
      <c r="C31" s="8">
        <v>0.33333333333333331</v>
      </c>
      <c r="D31" s="8">
        <v>0.5</v>
      </c>
      <c r="E31" s="9">
        <v>0.54166666666666663</v>
      </c>
      <c r="F31" s="9">
        <v>0.70833333333333337</v>
      </c>
      <c r="G31" s="9"/>
      <c r="H31" s="9"/>
      <c r="I31" s="8"/>
      <c r="J31" s="5">
        <f t="shared" si="2"/>
        <v>8</v>
      </c>
      <c r="K31" s="35"/>
    </row>
    <row r="32" spans="1:11">
      <c r="A32" s="7">
        <f t="shared" si="0"/>
        <v>45708</v>
      </c>
      <c r="B32" s="64" t="str">
        <f t="shared" si="3"/>
        <v>Qui</v>
      </c>
      <c r="C32" s="8">
        <v>0.33333333333333331</v>
      </c>
      <c r="D32" s="8">
        <v>0.5</v>
      </c>
      <c r="E32" s="9">
        <v>0.54166666666666663</v>
      </c>
      <c r="F32" s="9">
        <v>0.70833333333333337</v>
      </c>
      <c r="G32" s="9"/>
      <c r="H32" s="9"/>
      <c r="I32" s="8"/>
      <c r="J32" s="5">
        <f t="shared" si="2"/>
        <v>8</v>
      </c>
      <c r="K32" s="35"/>
    </row>
    <row r="33" spans="1:11">
      <c r="A33" s="7">
        <f t="shared" si="0"/>
        <v>45709</v>
      </c>
      <c r="B33" s="64" t="str">
        <f t="shared" si="3"/>
        <v>Sex</v>
      </c>
      <c r="C33" s="8">
        <v>0.33333333333333331</v>
      </c>
      <c r="D33" s="8">
        <v>0.5</v>
      </c>
      <c r="E33" s="9">
        <v>0.54166666666666663</v>
      </c>
      <c r="F33" s="9">
        <v>0.70833333333333337</v>
      </c>
      <c r="G33" s="9"/>
      <c r="H33" s="9"/>
      <c r="I33" s="8"/>
      <c r="J33" s="5">
        <f t="shared" si="2"/>
        <v>8</v>
      </c>
      <c r="K33" s="35"/>
    </row>
    <row r="34" spans="1:11">
      <c r="A34" s="7">
        <f t="shared" si="0"/>
        <v>45710</v>
      </c>
      <c r="B34" s="64" t="str">
        <f t="shared" si="3"/>
        <v>SAB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45711</v>
      </c>
      <c r="B35" s="64" t="str">
        <f t="shared" si="3"/>
        <v>DOM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45712</v>
      </c>
      <c r="B36" s="64" t="str">
        <f t="shared" si="3"/>
        <v>Seg</v>
      </c>
      <c r="C36" s="8">
        <v>0.33333333333333331</v>
      </c>
      <c r="D36" s="8">
        <v>0.52777777777777779</v>
      </c>
      <c r="E36" s="9">
        <v>0.56944444444444442</v>
      </c>
      <c r="F36" s="9">
        <v>0.70833333333333337</v>
      </c>
      <c r="G36" s="9"/>
      <c r="H36" s="9"/>
      <c r="I36" s="8"/>
      <c r="J36" s="5">
        <f t="shared" si="2"/>
        <v>8.0000000000000036</v>
      </c>
      <c r="K36" s="35"/>
    </row>
    <row r="37" spans="1:11">
      <c r="A37" s="7">
        <f t="shared" si="0"/>
        <v>45713</v>
      </c>
      <c r="B37" s="62" t="str">
        <f t="shared" si="3"/>
        <v>Ter</v>
      </c>
      <c r="C37" s="8">
        <v>0.29166666666666669</v>
      </c>
      <c r="D37" s="8">
        <v>0.5</v>
      </c>
      <c r="E37" s="9">
        <v>0.54166666666666663</v>
      </c>
      <c r="F37" s="9">
        <v>0.70833333333333337</v>
      </c>
      <c r="G37" s="9"/>
      <c r="H37" s="9"/>
      <c r="I37" s="8"/>
      <c r="J37" s="5">
        <f t="shared" si="2"/>
        <v>9.0000000000000036</v>
      </c>
      <c r="K37" s="35"/>
    </row>
    <row r="38" spans="1:11">
      <c r="A38" s="7">
        <f t="shared" si="0"/>
        <v>45714</v>
      </c>
      <c r="B38" s="62" t="str">
        <f t="shared" si="3"/>
        <v>Qua</v>
      </c>
      <c r="C38" s="8">
        <v>0.29166666666666669</v>
      </c>
      <c r="D38" s="8">
        <v>0.52777777777777779</v>
      </c>
      <c r="E38" s="9">
        <v>0.56944444444444442</v>
      </c>
      <c r="F38" s="9">
        <v>0.70833333333333337</v>
      </c>
      <c r="G38" s="9"/>
      <c r="H38" s="9"/>
      <c r="I38" s="8"/>
      <c r="J38" s="5">
        <f>(D38-C38+F38-E38+H38-G38)*24</f>
        <v>9</v>
      </c>
      <c r="K38" s="35"/>
    </row>
    <row r="39" spans="1:11">
      <c r="A39" s="7">
        <f t="shared" si="0"/>
        <v>45715</v>
      </c>
      <c r="B39" s="64" t="str">
        <f t="shared" si="3"/>
        <v>Qui</v>
      </c>
      <c r="C39" s="8">
        <v>0.29166666666666669</v>
      </c>
      <c r="D39" s="8">
        <v>0.52777777777777779</v>
      </c>
      <c r="E39" s="9">
        <v>0.56944444444444442</v>
      </c>
      <c r="F39" s="9">
        <v>0.70833333333333337</v>
      </c>
      <c r="G39" s="9"/>
      <c r="H39" s="9"/>
      <c r="I39" s="8"/>
      <c r="J39" s="5">
        <f t="shared" si="2"/>
        <v>9</v>
      </c>
      <c r="K39" s="35"/>
    </row>
    <row r="40" spans="1:11" ht="13" thickBot="1">
      <c r="A40" s="7">
        <f t="shared" si="0"/>
        <v>45716</v>
      </c>
      <c r="B40" s="64" t="str">
        <f t="shared" si="3"/>
        <v>Sex</v>
      </c>
      <c r="C40" s="8">
        <v>0.375</v>
      </c>
      <c r="D40" s="8">
        <v>0.5</v>
      </c>
      <c r="E40" s="9">
        <v>0.54166666666666663</v>
      </c>
      <c r="F40" s="9">
        <v>0.70833333333333337</v>
      </c>
      <c r="G40" s="9"/>
      <c r="H40" s="9"/>
      <c r="I40" s="8"/>
      <c r="J40" s="5">
        <f t="shared" si="2"/>
        <v>7.0000000000000018</v>
      </c>
      <c r="K40" s="35"/>
    </row>
    <row r="41" spans="1:11" ht="15" customHeight="1" thickBot="1">
      <c r="C41" s="15"/>
      <c r="D41" s="15"/>
      <c r="E41" s="15"/>
      <c r="F41" s="15"/>
      <c r="G41" s="15"/>
      <c r="H41" s="15"/>
      <c r="I41" s="15"/>
      <c r="J41" s="18">
        <f>SUM(J$13:J$40)</f>
        <v>162</v>
      </c>
    </row>
    <row r="42" spans="1:11" ht="13.25" customHeight="1">
      <c r="C42" s="15"/>
      <c r="D42" s="15"/>
      <c r="E42" s="15"/>
      <c r="F42" s="15"/>
      <c r="G42" s="15"/>
      <c r="H42" s="15"/>
      <c r="I42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0">
    <cfRule type="containsText" dxfId="39" priority="7" stopIfTrue="1" operator="containsText" text="DOM">
      <formula>NOT(ISERROR(SEARCH("DOM",B13)))</formula>
    </cfRule>
    <cfRule type="containsText" dxfId="38" priority="8" stopIfTrue="1" operator="containsText" text="SAB">
      <formula>NOT(ISERROR(SEARCH("SAB",B13)))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44A2-1557-4DE2-899A-5C061406B887}">
  <dimension ref="A1:K45"/>
  <sheetViews>
    <sheetView tabSelected="1" topLeftCell="A10" zoomScale="200" zoomScaleNormal="200" workbookViewId="0">
      <selection activeCell="C24" sqref="C24:F24"/>
    </sheetView>
  </sheetViews>
  <sheetFormatPr baseColWidth="10" defaultColWidth="9.796875" defaultRowHeight="12"/>
  <cols>
    <col min="1" max="9" width="9.796875" style="4"/>
    <col min="10" max="10" width="11.796875" style="2" customWidth="1"/>
    <col min="11" max="11" width="21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23.5" customHeight="1" thickBot="1">
      <c r="A4" s="1" t="s">
        <v>1</v>
      </c>
      <c r="B4" s="16">
        <v>45717</v>
      </c>
      <c r="C4" s="72" t="s">
        <v>17</v>
      </c>
      <c r="D4" s="73">
        <v>45747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45717</v>
      </c>
      <c r="C5" s="72"/>
      <c r="D5" s="74">
        <f>D4</f>
        <v>45747</v>
      </c>
      <c r="E5" s="74"/>
      <c r="H5" s="78">
        <f>20*8</f>
        <v>160</v>
      </c>
      <c r="I5" s="79"/>
      <c r="J5" s="31">
        <f>J44-H5</f>
        <v>-112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'Fevereiro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57" t="str">
        <f>'Fevereiro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45717</v>
      </c>
      <c r="B13" s="62" t="str">
        <f>IF(A13=0,0,MID("DOMSegTerQuaQuiSexSAB",3*WEEKDAY(A13)-2,3))</f>
        <v>SAB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3" si="0">IF(A13&gt;=$D$4,0,IF(A13=0,0,1+A13))</f>
        <v>45718</v>
      </c>
      <c r="B14" s="62" t="str">
        <f t="shared" ref="B14:B42" si="1">IF(A14=0,0,MID("DOMSegTerQuaQuiSexSAB",3*WEEKDAY(A14)-2,3))</f>
        <v>DOM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si="0"/>
        <v>45719</v>
      </c>
      <c r="B15" s="62" t="str">
        <f t="shared" si="1"/>
        <v>Seg</v>
      </c>
      <c r="C15" s="8"/>
      <c r="D15" s="8"/>
      <c r="E15" s="9"/>
      <c r="F15" s="9"/>
      <c r="G15" s="9"/>
      <c r="H15" s="9"/>
      <c r="I15" s="8"/>
      <c r="J15" s="5">
        <f t="shared" ref="J15:J43" si="2">(D15-C15+F15-E15+H15-G15)*24</f>
        <v>0</v>
      </c>
      <c r="K15" s="35"/>
    </row>
    <row r="16" spans="1:11">
      <c r="A16" s="7">
        <f t="shared" si="0"/>
        <v>45720</v>
      </c>
      <c r="B16" s="62" t="str">
        <f t="shared" si="1"/>
        <v>Ter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>
      <c r="A17" s="7">
        <f t="shared" si="0"/>
        <v>45721</v>
      </c>
      <c r="B17" s="62" t="str">
        <f t="shared" si="1"/>
        <v>Qua</v>
      </c>
      <c r="C17" s="8">
        <v>0.375</v>
      </c>
      <c r="D17" s="8">
        <v>0.5</v>
      </c>
      <c r="E17" s="9">
        <v>0.54166666666666663</v>
      </c>
      <c r="F17" s="9">
        <v>0.75</v>
      </c>
      <c r="G17" s="9"/>
      <c r="H17" s="9"/>
      <c r="I17" s="8"/>
      <c r="J17" s="5">
        <f t="shared" si="2"/>
        <v>8</v>
      </c>
      <c r="K17" s="35"/>
    </row>
    <row r="18" spans="1:11">
      <c r="A18" s="7">
        <f t="shared" si="0"/>
        <v>45722</v>
      </c>
      <c r="B18" s="62" t="str">
        <f t="shared" si="1"/>
        <v>Qui</v>
      </c>
      <c r="C18" s="8">
        <v>0.33333333333333331</v>
      </c>
      <c r="D18" s="8">
        <v>0.5</v>
      </c>
      <c r="E18" s="9">
        <v>0.54166666666666663</v>
      </c>
      <c r="F18" s="9">
        <v>0.70833333333333337</v>
      </c>
      <c r="G18" s="9"/>
      <c r="H18" s="9"/>
      <c r="I18" s="8"/>
      <c r="J18" s="5">
        <f t="shared" si="2"/>
        <v>8</v>
      </c>
      <c r="K18" s="35"/>
    </row>
    <row r="19" spans="1:11">
      <c r="A19" s="7">
        <f t="shared" si="0"/>
        <v>45723</v>
      </c>
      <c r="B19" s="62" t="str">
        <f t="shared" si="1"/>
        <v>Sex</v>
      </c>
      <c r="C19" s="8">
        <v>0.375</v>
      </c>
      <c r="D19" s="8">
        <v>0.5</v>
      </c>
      <c r="E19" s="9">
        <v>0.54166666666666663</v>
      </c>
      <c r="F19" s="9">
        <v>0.75</v>
      </c>
      <c r="G19" s="12"/>
      <c r="H19" s="12"/>
      <c r="I19" s="11"/>
      <c r="J19" s="5">
        <f t="shared" si="2"/>
        <v>8</v>
      </c>
      <c r="K19" s="36"/>
    </row>
    <row r="20" spans="1:11">
      <c r="A20" s="7">
        <f t="shared" si="0"/>
        <v>45724</v>
      </c>
      <c r="B20" s="62" t="str">
        <f t="shared" si="1"/>
        <v>SAB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45725</v>
      </c>
      <c r="B21" s="62" t="str">
        <f t="shared" si="1"/>
        <v>DOM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45726</v>
      </c>
      <c r="B22" s="62" t="str">
        <f t="shared" si="1"/>
        <v>Seg</v>
      </c>
      <c r="C22" s="8">
        <v>0.375</v>
      </c>
      <c r="D22" s="8">
        <v>0.5</v>
      </c>
      <c r="E22" s="9">
        <v>0.54166666666666663</v>
      </c>
      <c r="F22" s="9">
        <v>0.75</v>
      </c>
      <c r="G22" s="9"/>
      <c r="H22" s="9"/>
      <c r="I22" s="8"/>
      <c r="J22" s="5">
        <f t="shared" si="2"/>
        <v>8</v>
      </c>
      <c r="K22" s="35"/>
    </row>
    <row r="23" spans="1:11">
      <c r="A23" s="7">
        <f t="shared" si="0"/>
        <v>45727</v>
      </c>
      <c r="B23" s="62" t="str">
        <f t="shared" si="1"/>
        <v>Ter</v>
      </c>
      <c r="C23" s="8">
        <v>0.375</v>
      </c>
      <c r="D23" s="8">
        <v>0.5</v>
      </c>
      <c r="E23" s="9">
        <v>0.54166666666666663</v>
      </c>
      <c r="F23" s="9">
        <v>0.75</v>
      </c>
      <c r="G23" s="9"/>
      <c r="H23" s="9"/>
      <c r="I23" s="8"/>
      <c r="J23" s="5">
        <f t="shared" si="2"/>
        <v>8</v>
      </c>
      <c r="K23" s="35"/>
    </row>
    <row r="24" spans="1:11">
      <c r="A24" s="13">
        <f t="shared" si="0"/>
        <v>45728</v>
      </c>
      <c r="B24" s="62" t="str">
        <f t="shared" si="1"/>
        <v>Qua</v>
      </c>
      <c r="C24" s="8">
        <v>0.33333333333333331</v>
      </c>
      <c r="D24" s="8">
        <v>0.5</v>
      </c>
      <c r="E24" s="9">
        <v>0.54166666666666663</v>
      </c>
      <c r="F24" s="9">
        <v>0.70833333333333337</v>
      </c>
      <c r="G24" s="9"/>
      <c r="H24" s="9"/>
      <c r="I24" s="8"/>
      <c r="J24" s="5">
        <f t="shared" si="2"/>
        <v>8</v>
      </c>
      <c r="K24" s="35"/>
    </row>
    <row r="25" spans="1:11">
      <c r="A25" s="13">
        <f t="shared" si="0"/>
        <v>45729</v>
      </c>
      <c r="B25" s="62" t="str">
        <f t="shared" si="1"/>
        <v>Qui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>
      <c r="A26" s="7">
        <f t="shared" si="0"/>
        <v>45730</v>
      </c>
      <c r="B26" s="62" t="str">
        <f t="shared" si="1"/>
        <v>Sex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>
      <c r="A27" s="7">
        <f t="shared" si="0"/>
        <v>45731</v>
      </c>
      <c r="B27" s="62" t="str">
        <f t="shared" si="1"/>
        <v>SAB</v>
      </c>
      <c r="C27" s="8"/>
      <c r="D27" s="8"/>
      <c r="E27" s="9"/>
      <c r="F27" s="9"/>
      <c r="G27" s="14"/>
      <c r="H27" s="9"/>
      <c r="I27" s="8"/>
      <c r="J27" s="5">
        <f t="shared" si="2"/>
        <v>0</v>
      </c>
      <c r="K27" s="37"/>
    </row>
    <row r="28" spans="1:11">
      <c r="A28" s="7">
        <f t="shared" si="0"/>
        <v>45732</v>
      </c>
      <c r="B28" s="62" t="str">
        <f t="shared" si="1"/>
        <v>DOM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45733</v>
      </c>
      <c r="B29" s="62" t="str">
        <f t="shared" si="1"/>
        <v>Seg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1">
      <c r="A30" s="7">
        <f t="shared" si="0"/>
        <v>45734</v>
      </c>
      <c r="B30" s="62" t="str">
        <f t="shared" si="1"/>
        <v>Ter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1">
      <c r="A31" s="7">
        <f t="shared" si="0"/>
        <v>45735</v>
      </c>
      <c r="B31" s="62" t="str">
        <f t="shared" si="1"/>
        <v>Qua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45736</v>
      </c>
      <c r="B32" s="62" t="str">
        <f t="shared" si="1"/>
        <v>Qui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45737</v>
      </c>
      <c r="B33" s="62" t="str">
        <f t="shared" si="1"/>
        <v>Sex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45738</v>
      </c>
      <c r="B34" s="62" t="str">
        <f t="shared" si="1"/>
        <v>SAB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45739</v>
      </c>
      <c r="B35" s="62" t="str">
        <f t="shared" si="1"/>
        <v>DOM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45740</v>
      </c>
      <c r="B36" s="62" t="str">
        <f t="shared" si="1"/>
        <v>Seg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45741</v>
      </c>
      <c r="B37" s="62" t="str">
        <f t="shared" si="1"/>
        <v>Ter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45742</v>
      </c>
      <c r="B38" s="62" t="str">
        <f t="shared" si="1"/>
        <v>Qua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45743</v>
      </c>
      <c r="B39" s="62" t="str">
        <f t="shared" si="1"/>
        <v>Qui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45744</v>
      </c>
      <c r="B40" s="62" t="str">
        <f t="shared" si="1"/>
        <v>Sex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45745</v>
      </c>
      <c r="B41" s="33" t="str">
        <f t="shared" si="1"/>
        <v>SAB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>
      <c r="A42" s="7">
        <f t="shared" si="0"/>
        <v>45746</v>
      </c>
      <c r="B42" s="62" t="str">
        <f t="shared" si="1"/>
        <v>DOM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3" thickBot="1">
      <c r="A43" s="7">
        <f t="shared" si="0"/>
        <v>45747</v>
      </c>
      <c r="B43" s="62" t="str">
        <f>IF(A43=0,0,MID("DOMSegTerQuaQuiSexSAB",3*WEEKDAY(A43)-2,3))</f>
        <v>Seg</v>
      </c>
      <c r="C43" s="8"/>
      <c r="D43" s="8"/>
      <c r="E43" s="8"/>
      <c r="F43" s="9"/>
      <c r="G43" s="9"/>
      <c r="H43" s="9"/>
      <c r="I43" s="8"/>
      <c r="J43" s="5">
        <f t="shared" si="2"/>
        <v>0</v>
      </c>
      <c r="K43" s="35"/>
    </row>
    <row r="44" spans="1:11" ht="15" customHeight="1" thickBot="1">
      <c r="C44" s="15"/>
      <c r="D44" s="15"/>
      <c r="E44" s="15"/>
      <c r="F44" s="15"/>
      <c r="G44" s="15"/>
      <c r="H44" s="15"/>
      <c r="I44" s="15"/>
      <c r="J44" s="18">
        <f>SUM(J$13:J$43)</f>
        <v>48</v>
      </c>
    </row>
    <row r="45" spans="1:11" ht="13.25" customHeight="1">
      <c r="C45" s="15"/>
      <c r="D45" s="15"/>
      <c r="E45" s="15"/>
      <c r="F45" s="15"/>
      <c r="G45" s="15"/>
      <c r="H45" s="15"/>
      <c r="I45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3">
    <cfRule type="containsText" dxfId="37" priority="1" operator="containsText" text="DOM">
      <formula>NOT(ISERROR(SEARCH("DOM",B13)))</formula>
    </cfRule>
    <cfRule type="containsText" dxfId="36" priority="2" operator="containsText" text="SAB">
      <formula>NOT(ISERROR(SEARCH("SAB",B13)))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4846-F3E6-4022-A523-24D9502A3841}">
  <dimension ref="A1:K44"/>
  <sheetViews>
    <sheetView zoomScale="90" zoomScaleNormal="90" workbookViewId="0">
      <selection activeCell="B33" sqref="B33"/>
    </sheetView>
  </sheetViews>
  <sheetFormatPr baseColWidth="10" defaultColWidth="9.796875" defaultRowHeight="12"/>
  <cols>
    <col min="1" max="9" width="9.796875" style="4"/>
    <col min="10" max="10" width="12" style="2" customWidth="1"/>
    <col min="11" max="11" width="27.796875" style="4" bestFit="1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26" customHeight="1" thickBot="1">
      <c r="A4" s="1" t="s">
        <v>1</v>
      </c>
      <c r="B4" s="16">
        <v>45748</v>
      </c>
      <c r="C4" s="72" t="s">
        <v>17</v>
      </c>
      <c r="D4" s="73">
        <v>45777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45748</v>
      </c>
      <c r="C5" s="72"/>
      <c r="D5" s="74">
        <f>D4</f>
        <v>45777</v>
      </c>
      <c r="E5" s="74"/>
      <c r="H5" s="78">
        <f>20*8</f>
        <v>160</v>
      </c>
      <c r="I5" s="79"/>
      <c r="J5" s="31">
        <f>J43-H5</f>
        <v>-160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'Março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57" t="str">
        <f>'Março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 t="s">
        <v>37</v>
      </c>
      <c r="J12" s="24" t="s">
        <v>34</v>
      </c>
      <c r="K12" s="24" t="s">
        <v>35</v>
      </c>
    </row>
    <row r="13" spans="1:11">
      <c r="A13" s="20">
        <f>B4</f>
        <v>45748</v>
      </c>
      <c r="B13" s="61" t="str">
        <f>IF(A13=0,0,MID("DOMSegTerQuaQuiSexSAB",3*WEEKDAY(A13)-2,3))</f>
        <v>Ter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2" si="0">IF(A13&gt;=$D$4,0,IF(A13=0,0,1+A13))</f>
        <v>45749</v>
      </c>
      <c r="B14" s="62" t="str">
        <f t="shared" ref="B14:B42" si="1">IF(A14=0,0,MID("DOMSegTerQuaQuiSexSAB",3*WEEKDAY(A14)-2,3))</f>
        <v>Qua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si="0"/>
        <v>45750</v>
      </c>
      <c r="B15" s="62" t="str">
        <f t="shared" si="1"/>
        <v>Qui</v>
      </c>
      <c r="C15" s="8"/>
      <c r="D15" s="8"/>
      <c r="E15" s="9"/>
      <c r="F15" s="9"/>
      <c r="G15" s="9"/>
      <c r="H15" s="9"/>
      <c r="I15" s="8"/>
      <c r="J15" s="5">
        <f t="shared" ref="J15:J42" si="2">(D15-C15+F15-E15+H15-G15)*24</f>
        <v>0</v>
      </c>
      <c r="K15" s="35"/>
    </row>
    <row r="16" spans="1:11">
      <c r="A16" s="7">
        <f t="shared" si="0"/>
        <v>45751</v>
      </c>
      <c r="B16" s="62" t="str">
        <f t="shared" si="1"/>
        <v>Sex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>
      <c r="A17" s="7">
        <f t="shared" si="0"/>
        <v>45752</v>
      </c>
      <c r="B17" s="62" t="str">
        <f t="shared" si="1"/>
        <v>SAB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</row>
    <row r="18" spans="1:11">
      <c r="A18" s="7">
        <f t="shared" si="0"/>
        <v>45753</v>
      </c>
      <c r="B18" s="62" t="str">
        <f t="shared" si="1"/>
        <v>DOM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</row>
    <row r="19" spans="1:11">
      <c r="A19" s="7">
        <f t="shared" si="0"/>
        <v>45754</v>
      </c>
      <c r="B19" s="62" t="str">
        <f t="shared" si="1"/>
        <v>Seg</v>
      </c>
      <c r="C19" s="11"/>
      <c r="D19" s="11"/>
      <c r="E19" s="12"/>
      <c r="F19" s="12"/>
      <c r="G19" s="12"/>
      <c r="H19" s="12"/>
      <c r="I19" s="11"/>
      <c r="J19" s="5">
        <f t="shared" si="2"/>
        <v>0</v>
      </c>
      <c r="K19" s="36"/>
    </row>
    <row r="20" spans="1:11">
      <c r="A20" s="7">
        <f t="shared" si="0"/>
        <v>45755</v>
      </c>
      <c r="B20" s="62" t="str">
        <f t="shared" si="1"/>
        <v>Ter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45756</v>
      </c>
      <c r="B21" s="62" t="str">
        <f t="shared" si="1"/>
        <v>Qua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45757</v>
      </c>
      <c r="B22" s="62" t="str">
        <f t="shared" si="1"/>
        <v>Qui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1">
      <c r="A23" s="7">
        <f t="shared" si="0"/>
        <v>45758</v>
      </c>
      <c r="B23" s="62" t="str">
        <f t="shared" si="1"/>
        <v>Sex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>
      <c r="A24" s="13">
        <f t="shared" si="0"/>
        <v>45759</v>
      </c>
      <c r="B24" s="63" t="str">
        <f t="shared" si="1"/>
        <v>SAB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>
      <c r="A25" s="13">
        <f t="shared" si="0"/>
        <v>45760</v>
      </c>
      <c r="B25" s="63" t="str">
        <f t="shared" si="1"/>
        <v>DOM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>
      <c r="A26" s="7">
        <f t="shared" si="0"/>
        <v>45761</v>
      </c>
      <c r="B26" s="62" t="str">
        <f t="shared" si="1"/>
        <v>Seg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>
      <c r="A27" s="7">
        <f t="shared" si="0"/>
        <v>45762</v>
      </c>
      <c r="B27" s="62" t="str">
        <f t="shared" si="1"/>
        <v>Ter</v>
      </c>
      <c r="C27" s="11"/>
      <c r="D27" s="11"/>
      <c r="E27" s="12"/>
      <c r="F27" s="12"/>
      <c r="G27" s="55"/>
      <c r="H27" s="9"/>
      <c r="I27" s="8"/>
      <c r="J27" s="5">
        <f t="shared" si="2"/>
        <v>0</v>
      </c>
      <c r="K27" s="37"/>
    </row>
    <row r="28" spans="1:11">
      <c r="A28" s="7">
        <f t="shared" si="0"/>
        <v>45763</v>
      </c>
      <c r="B28" s="62" t="str">
        <f t="shared" si="1"/>
        <v>Qua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45764</v>
      </c>
      <c r="B29" s="62" t="str">
        <f t="shared" si="1"/>
        <v>Qui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1">
      <c r="A30" s="7">
        <f t="shared" si="0"/>
        <v>45765</v>
      </c>
      <c r="B30" s="33" t="str">
        <f t="shared" si="1"/>
        <v>Sex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1">
      <c r="A31" s="7">
        <f t="shared" si="0"/>
        <v>45766</v>
      </c>
      <c r="B31" s="62" t="str">
        <f t="shared" si="1"/>
        <v>SAB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45767</v>
      </c>
      <c r="B32" s="62" t="str">
        <f t="shared" si="1"/>
        <v>DOM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45768</v>
      </c>
      <c r="B33" s="33" t="str">
        <f t="shared" si="1"/>
        <v>Seg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45769</v>
      </c>
      <c r="B34" s="62" t="str">
        <f t="shared" si="1"/>
        <v>Ter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45770</v>
      </c>
      <c r="B35" s="62" t="str">
        <f t="shared" si="1"/>
        <v>Qua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45771</v>
      </c>
      <c r="B36" s="62" t="str">
        <f t="shared" si="1"/>
        <v>Qui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45772</v>
      </c>
      <c r="B37" s="62" t="str">
        <f t="shared" si="1"/>
        <v>Sex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45773</v>
      </c>
      <c r="B38" s="62" t="str">
        <f t="shared" si="1"/>
        <v>SAB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45774</v>
      </c>
      <c r="B39" s="62" t="str">
        <f t="shared" si="1"/>
        <v>DOM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45775</v>
      </c>
      <c r="B40" s="62" t="str">
        <f t="shared" si="1"/>
        <v>Seg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45776</v>
      </c>
      <c r="B41" s="62" t="str">
        <f t="shared" si="1"/>
        <v>Ter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 ht="13" thickBot="1">
      <c r="A42" s="7">
        <f t="shared" si="0"/>
        <v>45777</v>
      </c>
      <c r="B42" s="62" t="str">
        <f t="shared" si="1"/>
        <v>Qua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5" customHeight="1" thickBot="1">
      <c r="C43" s="15"/>
      <c r="D43" s="15"/>
      <c r="E43" s="15"/>
      <c r="F43" s="15"/>
      <c r="G43" s="15"/>
      <c r="H43" s="15"/>
      <c r="I43" s="15"/>
      <c r="J43" s="18">
        <f>SUM(J$13:J$42)</f>
        <v>0</v>
      </c>
    </row>
    <row r="44" spans="1:11" ht="13.25" customHeight="1">
      <c r="C44" s="15"/>
      <c r="D44" s="15"/>
      <c r="E44" s="15"/>
      <c r="F44" s="15"/>
      <c r="G44" s="15"/>
      <c r="H44" s="15"/>
      <c r="I44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2">
    <cfRule type="containsText" dxfId="35" priority="1" operator="containsText" text="DOM">
      <formula>NOT(ISERROR(SEARCH("DOM",B13)))</formula>
    </cfRule>
    <cfRule type="containsText" dxfId="34" priority="2" operator="containsText" text="SAB">
      <formula>NOT(ISERROR(SEARCH("SAB",B13)))</formula>
    </cfRule>
  </conditionalFormatting>
  <conditionalFormatting sqref="G13:I42">
    <cfRule type="expression" dxfId="33" priority="12" stopIfTrue="1">
      <formula>AND(#REF!=0,0=#REF!)</formula>
    </cfRule>
  </conditionalFormatting>
  <conditionalFormatting sqref="K13:K42">
    <cfRule type="expression" dxfId="32" priority="8" stopIfTrue="1">
      <formula>AND(#REF!=0,0=#REF!)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C4ED-C6DB-4098-A229-624D4E6E60AF}">
  <dimension ref="A1:K45"/>
  <sheetViews>
    <sheetView zoomScale="90" zoomScaleNormal="90" workbookViewId="0">
      <selection activeCell="L34" sqref="L34"/>
    </sheetView>
  </sheetViews>
  <sheetFormatPr baseColWidth="10" defaultColWidth="9.796875" defaultRowHeight="12"/>
  <cols>
    <col min="1" max="9" width="9.796875" style="4"/>
    <col min="10" max="10" width="12.19921875" style="2" customWidth="1"/>
    <col min="11" max="11" width="25.796875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22" customHeight="1" thickBot="1">
      <c r="A4" s="1" t="s">
        <v>1</v>
      </c>
      <c r="B4" s="16">
        <v>45778</v>
      </c>
      <c r="C4" s="72" t="s">
        <v>17</v>
      </c>
      <c r="D4" s="73">
        <v>45808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45778</v>
      </c>
      <c r="C5" s="72"/>
      <c r="D5" s="74">
        <f>D4</f>
        <v>45808</v>
      </c>
      <c r="E5" s="74"/>
      <c r="H5" s="78">
        <f>20*8</f>
        <v>160</v>
      </c>
      <c r="I5" s="79"/>
      <c r="J5" s="31">
        <f>J44-H5</f>
        <v>-160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'Abril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57" t="str">
        <f>'Abril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45778</v>
      </c>
      <c r="B13" s="34" t="str">
        <f>IF(A13=0,0,MID("DOMSegTerQuaQuiSexSAB",3*WEEKDAY(A13)-2,3))</f>
        <v>Qui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3" si="0">IF(A13&gt;=$D$4,0,IF(A13=0,0,1+A13))</f>
        <v>45779</v>
      </c>
      <c r="B14" s="62" t="str">
        <f t="shared" ref="B14:B42" si="1">IF(A14=0,0,MID("DOMSegTerQuaQuiSexSAB",3*WEEKDAY(A14)-2,3))</f>
        <v>Sex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si="0"/>
        <v>45780</v>
      </c>
      <c r="B15" s="62" t="str">
        <f t="shared" si="1"/>
        <v>SAB</v>
      </c>
      <c r="C15" s="8"/>
      <c r="D15" s="8"/>
      <c r="E15" s="9"/>
      <c r="F15" s="9"/>
      <c r="G15" s="9"/>
      <c r="H15" s="9"/>
      <c r="I15" s="8"/>
      <c r="J15" s="5">
        <f t="shared" ref="J15:J43" si="2">(D15-C15+F15-E15+H15-G15)*24</f>
        <v>0</v>
      </c>
      <c r="K15" s="35"/>
    </row>
    <row r="16" spans="1:11">
      <c r="A16" s="7">
        <f t="shared" si="0"/>
        <v>45781</v>
      </c>
      <c r="B16" s="62" t="str">
        <f t="shared" si="1"/>
        <v>DOM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>
      <c r="A17" s="7">
        <f t="shared" si="0"/>
        <v>45782</v>
      </c>
      <c r="B17" s="62" t="str">
        <f t="shared" si="1"/>
        <v>Seg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</row>
    <row r="18" spans="1:11">
      <c r="A18" s="7">
        <f t="shared" si="0"/>
        <v>45783</v>
      </c>
      <c r="B18" s="62" t="str">
        <f t="shared" si="1"/>
        <v>Ter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</row>
    <row r="19" spans="1:11">
      <c r="A19" s="7">
        <f t="shared" si="0"/>
        <v>45784</v>
      </c>
      <c r="B19" s="61" t="str">
        <f t="shared" si="1"/>
        <v>Qua</v>
      </c>
      <c r="C19" s="8"/>
      <c r="D19" s="8"/>
      <c r="E19" s="9"/>
      <c r="F19" s="9"/>
      <c r="G19" s="12"/>
      <c r="H19" s="12"/>
      <c r="I19" s="11"/>
      <c r="J19" s="5">
        <f t="shared" si="2"/>
        <v>0</v>
      </c>
      <c r="K19" s="36"/>
    </row>
    <row r="20" spans="1:11">
      <c r="A20" s="7">
        <f t="shared" si="0"/>
        <v>45785</v>
      </c>
      <c r="B20" s="62" t="str">
        <f t="shared" si="1"/>
        <v>Qui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45786</v>
      </c>
      <c r="B21" s="62" t="str">
        <f t="shared" si="1"/>
        <v>Sex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45787</v>
      </c>
      <c r="B22" s="62" t="str">
        <f t="shared" si="1"/>
        <v>SAB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1">
      <c r="A23" s="7">
        <f t="shared" si="0"/>
        <v>45788</v>
      </c>
      <c r="B23" s="62" t="str">
        <f t="shared" si="1"/>
        <v>DOM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>
      <c r="A24" s="13">
        <f t="shared" si="0"/>
        <v>45789</v>
      </c>
      <c r="B24" s="63" t="str">
        <f t="shared" si="1"/>
        <v>Seg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>
      <c r="A25" s="13">
        <f t="shared" si="0"/>
        <v>45790</v>
      </c>
      <c r="B25" s="63" t="str">
        <f t="shared" si="1"/>
        <v>Ter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>
      <c r="A26" s="7">
        <f t="shared" si="0"/>
        <v>45791</v>
      </c>
      <c r="B26" s="61" t="str">
        <f t="shared" si="1"/>
        <v>Qua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>
      <c r="A27" s="7">
        <f t="shared" si="0"/>
        <v>45792</v>
      </c>
      <c r="B27" s="62" t="str">
        <f t="shared" si="1"/>
        <v>Qui</v>
      </c>
      <c r="C27" s="8"/>
      <c r="D27" s="8"/>
      <c r="E27" s="9"/>
      <c r="F27" s="9"/>
      <c r="G27" s="9"/>
      <c r="H27" s="9"/>
      <c r="I27" s="8"/>
      <c r="J27" s="5">
        <f t="shared" si="2"/>
        <v>0</v>
      </c>
      <c r="K27" s="35"/>
    </row>
    <row r="28" spans="1:11">
      <c r="A28" s="7">
        <f t="shared" si="0"/>
        <v>45793</v>
      </c>
      <c r="B28" s="62" t="str">
        <f t="shared" si="1"/>
        <v>Sex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45794</v>
      </c>
      <c r="B29" s="62" t="str">
        <f t="shared" si="1"/>
        <v>SAB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1">
      <c r="A30" s="7">
        <f t="shared" si="0"/>
        <v>45795</v>
      </c>
      <c r="B30" s="62" t="str">
        <f t="shared" si="1"/>
        <v>DOM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1">
      <c r="A31" s="7">
        <f t="shared" si="0"/>
        <v>45796</v>
      </c>
      <c r="B31" s="62" t="str">
        <f t="shared" si="1"/>
        <v>Seg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45797</v>
      </c>
      <c r="B32" s="62" t="str">
        <f t="shared" si="1"/>
        <v>Ter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45798</v>
      </c>
      <c r="B33" s="61" t="str">
        <f t="shared" si="1"/>
        <v>Qua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45799</v>
      </c>
      <c r="B34" s="62" t="str">
        <f t="shared" si="1"/>
        <v>Qui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45800</v>
      </c>
      <c r="B35" s="62" t="str">
        <f t="shared" si="1"/>
        <v>Sex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45801</v>
      </c>
      <c r="B36" s="62" t="str">
        <f t="shared" si="1"/>
        <v>SAB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45802</v>
      </c>
      <c r="B37" s="62" t="str">
        <f t="shared" si="1"/>
        <v>DOM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45803</v>
      </c>
      <c r="B38" s="62" t="str">
        <f t="shared" si="1"/>
        <v>Seg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45804</v>
      </c>
      <c r="B39" s="62" t="str">
        <f t="shared" si="1"/>
        <v>Ter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45805</v>
      </c>
      <c r="B40" s="61" t="str">
        <f t="shared" si="1"/>
        <v>Qua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45806</v>
      </c>
      <c r="B41" s="62" t="str">
        <f t="shared" si="1"/>
        <v>Qui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>
      <c r="A42" s="7">
        <f t="shared" si="0"/>
        <v>45807</v>
      </c>
      <c r="B42" s="62" t="str">
        <f t="shared" si="1"/>
        <v>Sex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3" thickBot="1">
      <c r="A43" s="7">
        <f t="shared" si="0"/>
        <v>45808</v>
      </c>
      <c r="B43" s="62" t="str">
        <f>IF(A43=0,0,MID("DOMSegTerQuaQuiSexSAB",3*WEEKDAY(A43)-2,3))</f>
        <v>SAB</v>
      </c>
      <c r="C43" s="8"/>
      <c r="D43" s="8"/>
      <c r="E43" s="8"/>
      <c r="F43" s="9"/>
      <c r="G43" s="9"/>
      <c r="H43" s="9"/>
      <c r="I43" s="8"/>
      <c r="J43" s="5">
        <f t="shared" si="2"/>
        <v>0</v>
      </c>
      <c r="K43" s="35"/>
    </row>
    <row r="44" spans="1:11" ht="15" customHeight="1" thickBot="1">
      <c r="C44" s="15"/>
      <c r="D44" s="15"/>
      <c r="E44" s="15"/>
      <c r="F44" s="15"/>
      <c r="G44" s="15"/>
      <c r="H44" s="15"/>
      <c r="I44" s="15"/>
      <c r="J44" s="18">
        <f>SUM(J$13:J$43)</f>
        <v>0</v>
      </c>
    </row>
    <row r="45" spans="1:11" ht="13.25" customHeight="1">
      <c r="C45" s="15"/>
      <c r="D45" s="15"/>
      <c r="E45" s="15"/>
      <c r="F45" s="15"/>
      <c r="G45" s="15"/>
      <c r="H45" s="15"/>
      <c r="I45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3">
    <cfRule type="containsText" dxfId="31" priority="1" operator="containsText" text="DOM">
      <formula>NOT(ISERROR(SEARCH("DOM",B13)))</formula>
    </cfRule>
    <cfRule type="containsText" dxfId="30" priority="2" operator="containsText" text="SAB">
      <formula>NOT(ISERROR(SEARCH("SAB",B13)))</formula>
    </cfRule>
  </conditionalFormatting>
  <conditionalFormatting sqref="G13:I43">
    <cfRule type="expression" dxfId="29" priority="14" stopIfTrue="1">
      <formula>AND(#REF!=0,0=#REF!)</formula>
    </cfRule>
  </conditionalFormatting>
  <conditionalFormatting sqref="K13:K43">
    <cfRule type="expression" dxfId="28" priority="8" stopIfTrue="1">
      <formula>AND(#REF!=0,0=#REF!)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2160-241C-4475-8A2F-F87D55AEE5C4}">
  <dimension ref="A1:K44"/>
  <sheetViews>
    <sheetView zoomScale="90" zoomScaleNormal="90" workbookViewId="0">
      <selection activeCell="H5" sqref="H5:I5"/>
    </sheetView>
  </sheetViews>
  <sheetFormatPr baseColWidth="10" defaultColWidth="9.796875" defaultRowHeight="12"/>
  <cols>
    <col min="1" max="5" width="9.796875" style="4"/>
    <col min="6" max="6" width="10.19921875" style="4" bestFit="1" customWidth="1"/>
    <col min="7" max="9" width="9.796875" style="4"/>
    <col min="10" max="10" width="12.796875" style="2" customWidth="1"/>
    <col min="11" max="11" width="21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27" customHeight="1" thickBot="1">
      <c r="A4" s="1" t="s">
        <v>1</v>
      </c>
      <c r="B4" s="16">
        <v>45809</v>
      </c>
      <c r="C4" s="72" t="s">
        <v>17</v>
      </c>
      <c r="D4" s="73">
        <v>45838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45809</v>
      </c>
      <c r="C5" s="72"/>
      <c r="D5" s="74">
        <f>D4</f>
        <v>45838</v>
      </c>
      <c r="E5" s="74"/>
      <c r="H5" s="78">
        <f>20*8</f>
        <v>160</v>
      </c>
      <c r="I5" s="79"/>
      <c r="J5" s="31">
        <f>J43-H5</f>
        <v>-160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'Maio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57" t="str">
        <f>'Maio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45809</v>
      </c>
      <c r="B13" s="61" t="str">
        <f>IF(A13=0,0,MID("DOMSegTerQuaQuiSexSAB",3*WEEKDAY(A13)-2,3))</f>
        <v>DOM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2" si="0">IF(A13&gt;=$D$4,0,IF(A13=0,0,1+A13))</f>
        <v>45810</v>
      </c>
      <c r="B14" s="62" t="str">
        <f t="shared" ref="B14:B42" si="1">IF(A14=0,0,MID("DOMSegTerQuaQuiSexSAB",3*WEEKDAY(A14)-2,3))</f>
        <v>Seg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si="0"/>
        <v>45811</v>
      </c>
      <c r="B15" s="62" t="str">
        <f t="shared" si="1"/>
        <v>Ter</v>
      </c>
      <c r="C15" s="8"/>
      <c r="D15" s="8"/>
      <c r="E15" s="9"/>
      <c r="F15" s="9"/>
      <c r="G15" s="9"/>
      <c r="H15" s="9"/>
      <c r="I15" s="8"/>
      <c r="J15" s="5">
        <f t="shared" ref="J15:J42" si="2">(D15-C15+F15-E15+H15-G15)*24</f>
        <v>0</v>
      </c>
      <c r="K15" s="35"/>
    </row>
    <row r="16" spans="1:11">
      <c r="A16" s="7">
        <f t="shared" si="0"/>
        <v>45812</v>
      </c>
      <c r="B16" s="62" t="str">
        <f t="shared" si="1"/>
        <v>Qua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>
      <c r="A17" s="7">
        <f t="shared" si="0"/>
        <v>45813</v>
      </c>
      <c r="B17" s="62" t="str">
        <f t="shared" si="1"/>
        <v>Qui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</row>
    <row r="18" spans="1:11">
      <c r="A18" s="7">
        <f t="shared" si="0"/>
        <v>45814</v>
      </c>
      <c r="B18" s="62" t="str">
        <f t="shared" si="1"/>
        <v>Sex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</row>
    <row r="19" spans="1:11">
      <c r="A19" s="7">
        <f t="shared" si="0"/>
        <v>45815</v>
      </c>
      <c r="B19" s="62" t="str">
        <f t="shared" si="1"/>
        <v>SAB</v>
      </c>
      <c r="C19" s="11"/>
      <c r="D19" s="11"/>
      <c r="E19" s="12"/>
      <c r="F19" s="12"/>
      <c r="G19" s="12"/>
      <c r="H19" s="12"/>
      <c r="I19" s="11"/>
      <c r="J19" s="5">
        <f t="shared" si="2"/>
        <v>0</v>
      </c>
      <c r="K19" s="35"/>
    </row>
    <row r="20" spans="1:11">
      <c r="A20" s="7">
        <f t="shared" si="0"/>
        <v>45816</v>
      </c>
      <c r="B20" s="62" t="str">
        <f t="shared" si="1"/>
        <v>DOM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45817</v>
      </c>
      <c r="B21" s="62" t="str">
        <f t="shared" si="1"/>
        <v>Seg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45818</v>
      </c>
      <c r="B22" s="62" t="str">
        <f t="shared" si="1"/>
        <v>Ter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1">
      <c r="A23" s="7">
        <f t="shared" si="0"/>
        <v>45819</v>
      </c>
      <c r="B23" s="62" t="str">
        <f t="shared" si="1"/>
        <v>Qua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>
      <c r="A24" s="13">
        <f t="shared" si="0"/>
        <v>45820</v>
      </c>
      <c r="B24" s="62" t="str">
        <f t="shared" si="1"/>
        <v>Qui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>
      <c r="A25" s="13">
        <f t="shared" si="0"/>
        <v>45821</v>
      </c>
      <c r="B25" s="63" t="str">
        <f t="shared" si="1"/>
        <v>Sex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>
      <c r="A26" s="7">
        <f t="shared" si="0"/>
        <v>45822</v>
      </c>
      <c r="B26" s="62" t="str">
        <f t="shared" si="1"/>
        <v>SAB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>
      <c r="A27" s="7">
        <f t="shared" si="0"/>
        <v>45823</v>
      </c>
      <c r="B27" s="62" t="str">
        <f t="shared" si="1"/>
        <v>DOM</v>
      </c>
      <c r="C27" s="8"/>
      <c r="D27" s="8"/>
      <c r="E27" s="9"/>
      <c r="F27" s="9"/>
      <c r="G27" s="9"/>
      <c r="H27" s="9"/>
      <c r="I27" s="8"/>
      <c r="J27" s="5">
        <f t="shared" si="2"/>
        <v>0</v>
      </c>
      <c r="K27" s="35"/>
    </row>
    <row r="28" spans="1:11">
      <c r="A28" s="7">
        <f t="shared" si="0"/>
        <v>45824</v>
      </c>
      <c r="B28" s="62" t="str">
        <f t="shared" si="1"/>
        <v>Seg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45825</v>
      </c>
      <c r="B29" s="62" t="str">
        <f t="shared" si="1"/>
        <v>Ter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1">
      <c r="A30" s="7">
        <f t="shared" si="0"/>
        <v>45826</v>
      </c>
      <c r="B30" s="62" t="str">
        <f t="shared" si="1"/>
        <v>Qua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1">
      <c r="A31" s="7">
        <f t="shared" si="0"/>
        <v>45827</v>
      </c>
      <c r="B31" s="62" t="str">
        <f t="shared" si="1"/>
        <v>Qui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45828</v>
      </c>
      <c r="B32" s="62" t="str">
        <f t="shared" si="1"/>
        <v>Sex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45829</v>
      </c>
      <c r="B33" s="62" t="str">
        <f t="shared" si="1"/>
        <v>SAB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45830</v>
      </c>
      <c r="B34" s="62" t="str">
        <f t="shared" si="1"/>
        <v>DOM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45831</v>
      </c>
      <c r="B35" s="62" t="str">
        <f t="shared" si="1"/>
        <v>Seg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45832</v>
      </c>
      <c r="B36" s="62" t="str">
        <f t="shared" si="1"/>
        <v>Ter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45833</v>
      </c>
      <c r="B37" s="62" t="str">
        <f t="shared" si="1"/>
        <v>Qua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45834</v>
      </c>
      <c r="B38" s="62" t="str">
        <f t="shared" si="1"/>
        <v>Qui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45835</v>
      </c>
      <c r="B39" s="62" t="str">
        <f t="shared" si="1"/>
        <v>Sex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45836</v>
      </c>
      <c r="B40" s="62" t="str">
        <f t="shared" si="1"/>
        <v>SAB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45837</v>
      </c>
      <c r="B41" s="62" t="str">
        <f t="shared" si="1"/>
        <v>DOM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 ht="13" thickBot="1">
      <c r="A42" s="7">
        <f t="shared" si="0"/>
        <v>45838</v>
      </c>
      <c r="B42" s="62" t="str">
        <f t="shared" si="1"/>
        <v>Seg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5" customHeight="1" thickBot="1">
      <c r="C43" s="15"/>
      <c r="D43" s="15"/>
      <c r="E43" s="15"/>
      <c r="F43" s="15"/>
      <c r="G43" s="15"/>
      <c r="H43" s="15"/>
      <c r="I43" s="15"/>
      <c r="J43" s="18">
        <f>SUM(J$13:J$42)</f>
        <v>0</v>
      </c>
    </row>
    <row r="44" spans="1:11" ht="13.25" customHeight="1">
      <c r="C44" s="15"/>
      <c r="D44" s="15"/>
      <c r="E44" s="15"/>
      <c r="F44" s="15"/>
      <c r="G44" s="15"/>
      <c r="H44" s="15"/>
      <c r="I44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2">
    <cfRule type="containsText" dxfId="27" priority="1" operator="containsText" text="DOM">
      <formula>NOT(ISERROR(SEARCH("DOM",B13)))</formula>
    </cfRule>
    <cfRule type="containsText" dxfId="26" priority="2" operator="containsText" text="SAB">
      <formula>NOT(ISERROR(SEARCH("SAB",B13)))</formula>
    </cfRule>
  </conditionalFormatting>
  <conditionalFormatting sqref="G13:I42">
    <cfRule type="expression" dxfId="25" priority="7" stopIfTrue="1">
      <formula>AND(#REF!=0,0=#REF!)</formula>
    </cfRule>
  </conditionalFormatting>
  <conditionalFormatting sqref="K13:K42">
    <cfRule type="expression" dxfId="24" priority="3" stopIfTrue="1">
      <formula>AND(#REF!=0,0=#REF!)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CF12-D3B2-4255-BE89-3715EB8B55D2}">
  <dimension ref="A1:K45"/>
  <sheetViews>
    <sheetView topLeftCell="A2" workbookViewId="0">
      <selection activeCell="H5" sqref="H5:I5"/>
    </sheetView>
  </sheetViews>
  <sheetFormatPr baseColWidth="10" defaultColWidth="9.796875" defaultRowHeight="12"/>
  <cols>
    <col min="1" max="9" width="9.796875" style="4"/>
    <col min="10" max="10" width="12.796875" style="2" customWidth="1"/>
    <col min="11" max="11" width="21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13.5" customHeight="1" thickBot="1">
      <c r="A4" s="1" t="s">
        <v>1</v>
      </c>
      <c r="B4" s="16">
        <v>45839</v>
      </c>
      <c r="C4" s="72" t="s">
        <v>17</v>
      </c>
      <c r="D4" s="73">
        <v>45869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45839</v>
      </c>
      <c r="C5" s="72"/>
      <c r="D5" s="74">
        <f>D4</f>
        <v>45869</v>
      </c>
      <c r="E5" s="74"/>
      <c r="H5" s="78">
        <f>23*8</f>
        <v>184</v>
      </c>
      <c r="I5" s="79"/>
      <c r="J5" s="31">
        <f>J44-H5</f>
        <v>-184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'Junho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57" t="str">
        <f>'Junho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45839</v>
      </c>
      <c r="B13" s="61" t="str">
        <f>IF(A13=0,0,MID("DOMSegTerQuaQuiSexSAB",3*WEEKDAY(A13)-2,3))</f>
        <v>Ter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3" si="0">IF(A13&gt;=$D$4,0,IF(A13=0,0,1+A13))</f>
        <v>45840</v>
      </c>
      <c r="B14" s="62" t="str">
        <f t="shared" ref="B14:B42" si="1">IF(A14=0,0,MID("DOMSegTerQuaQuiSexSAB",3*WEEKDAY(A14)-2,3))</f>
        <v>Qua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si="0"/>
        <v>45841</v>
      </c>
      <c r="B15" s="62" t="str">
        <f t="shared" si="1"/>
        <v>Qui</v>
      </c>
      <c r="C15" s="8"/>
      <c r="D15" s="8"/>
      <c r="E15" s="9"/>
      <c r="F15" s="9"/>
      <c r="G15" s="9"/>
      <c r="H15" s="9"/>
      <c r="I15" s="8"/>
      <c r="J15" s="5">
        <f t="shared" ref="J15:J43" si="2">(D15-C15+F15-E15+H15-G15)*24</f>
        <v>0</v>
      </c>
      <c r="K15" s="35"/>
    </row>
    <row r="16" spans="1:11">
      <c r="A16" s="7">
        <f t="shared" si="0"/>
        <v>45842</v>
      </c>
      <c r="B16" s="62" t="str">
        <f t="shared" si="1"/>
        <v>Sex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>
      <c r="A17" s="7">
        <f t="shared" si="0"/>
        <v>45843</v>
      </c>
      <c r="B17" s="62" t="str">
        <f t="shared" si="1"/>
        <v>SAB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</row>
    <row r="18" spans="1:11">
      <c r="A18" s="7">
        <f t="shared" si="0"/>
        <v>45844</v>
      </c>
      <c r="B18" s="62" t="str">
        <f t="shared" si="1"/>
        <v>DOM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</row>
    <row r="19" spans="1:11">
      <c r="A19" s="7">
        <f t="shared" si="0"/>
        <v>45845</v>
      </c>
      <c r="B19" s="62" t="str">
        <f t="shared" si="1"/>
        <v>Seg</v>
      </c>
      <c r="C19" s="11"/>
      <c r="D19" s="11"/>
      <c r="E19" s="12"/>
      <c r="F19" s="12"/>
      <c r="G19" s="12"/>
      <c r="H19" s="12"/>
      <c r="I19" s="11"/>
      <c r="J19" s="5">
        <f t="shared" si="2"/>
        <v>0</v>
      </c>
      <c r="K19" s="36"/>
    </row>
    <row r="20" spans="1:11">
      <c r="A20" s="7">
        <f t="shared" si="0"/>
        <v>45846</v>
      </c>
      <c r="B20" s="62" t="str">
        <f t="shared" si="1"/>
        <v>Ter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45847</v>
      </c>
      <c r="B21" s="62" t="str">
        <f t="shared" si="1"/>
        <v>Qua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45848</v>
      </c>
      <c r="B22" s="62" t="str">
        <f t="shared" si="1"/>
        <v>Qui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1">
      <c r="A23" s="7">
        <f t="shared" si="0"/>
        <v>45849</v>
      </c>
      <c r="B23" s="62" t="str">
        <f t="shared" si="1"/>
        <v>Sex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>
      <c r="A24" s="13">
        <f t="shared" si="0"/>
        <v>45850</v>
      </c>
      <c r="B24" s="63" t="str">
        <f t="shared" si="1"/>
        <v>SAB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>
      <c r="A25" s="13">
        <f t="shared" si="0"/>
        <v>45851</v>
      </c>
      <c r="B25" s="63" t="str">
        <f t="shared" si="1"/>
        <v>DOM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>
      <c r="A26" s="7">
        <f t="shared" si="0"/>
        <v>45852</v>
      </c>
      <c r="B26" s="62" t="str">
        <f t="shared" si="1"/>
        <v>Seg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>
      <c r="A27" s="7">
        <f t="shared" si="0"/>
        <v>45853</v>
      </c>
      <c r="B27" s="62" t="str">
        <f t="shared" si="1"/>
        <v>Ter</v>
      </c>
      <c r="C27" s="8"/>
      <c r="D27" s="8"/>
      <c r="E27" s="9"/>
      <c r="F27" s="9"/>
      <c r="G27" s="14"/>
      <c r="H27" s="9"/>
      <c r="I27" s="8"/>
      <c r="J27" s="5">
        <f t="shared" si="2"/>
        <v>0</v>
      </c>
      <c r="K27" s="37"/>
    </row>
    <row r="28" spans="1:11">
      <c r="A28" s="7">
        <f t="shared" si="0"/>
        <v>45854</v>
      </c>
      <c r="B28" s="62" t="str">
        <f t="shared" si="1"/>
        <v>Qua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45855</v>
      </c>
      <c r="B29" s="62" t="str">
        <f t="shared" si="1"/>
        <v>Qui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1">
      <c r="A30" s="7">
        <f t="shared" si="0"/>
        <v>45856</v>
      </c>
      <c r="B30" s="62" t="str">
        <f t="shared" si="1"/>
        <v>Sex</v>
      </c>
      <c r="C30" s="8"/>
      <c r="D30" s="8"/>
      <c r="E30" s="9"/>
      <c r="F30" s="9"/>
      <c r="G30" s="9"/>
      <c r="H30" s="9"/>
      <c r="I30" s="8"/>
      <c r="J30" s="5">
        <f>(D30-C30+F30-E30+H30-G30)*24</f>
        <v>0</v>
      </c>
      <c r="K30" s="35"/>
    </row>
    <row r="31" spans="1:11">
      <c r="A31" s="7">
        <f t="shared" si="0"/>
        <v>45857</v>
      </c>
      <c r="B31" s="62" t="str">
        <f t="shared" si="1"/>
        <v>SAB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45858</v>
      </c>
      <c r="B32" s="62" t="str">
        <f t="shared" si="1"/>
        <v>DOM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45859</v>
      </c>
      <c r="B33" s="62" t="str">
        <f t="shared" si="1"/>
        <v>Seg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45860</v>
      </c>
      <c r="B34" s="62" t="str">
        <f t="shared" si="1"/>
        <v>Ter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45861</v>
      </c>
      <c r="B35" s="62" t="str">
        <f t="shared" si="1"/>
        <v>Qua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45862</v>
      </c>
      <c r="B36" s="62" t="str">
        <f t="shared" si="1"/>
        <v>Qui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45863</v>
      </c>
      <c r="B37" s="62" t="str">
        <f t="shared" si="1"/>
        <v>Sex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45864</v>
      </c>
      <c r="B38" s="62" t="str">
        <f t="shared" si="1"/>
        <v>SAB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45865</v>
      </c>
      <c r="B39" s="62" t="str">
        <f t="shared" si="1"/>
        <v>DOM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45866</v>
      </c>
      <c r="B40" s="62" t="str">
        <f t="shared" si="1"/>
        <v>Seg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45867</v>
      </c>
      <c r="B41" s="62" t="str">
        <f t="shared" si="1"/>
        <v>Ter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>
      <c r="A42" s="7">
        <f t="shared" si="0"/>
        <v>45868</v>
      </c>
      <c r="B42" s="62" t="str">
        <f t="shared" si="1"/>
        <v>Qua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3" thickBot="1">
      <c r="A43" s="7">
        <f t="shared" si="0"/>
        <v>45869</v>
      </c>
      <c r="B43" s="62" t="str">
        <f>IF(A43=0,0,MID("DOMSegTerQuaQuiSexSAB",3*WEEKDAY(A43)-2,3))</f>
        <v>Qui</v>
      </c>
      <c r="C43" s="8"/>
      <c r="D43" s="8"/>
      <c r="E43" s="8"/>
      <c r="F43" s="9"/>
      <c r="G43" s="9"/>
      <c r="H43" s="9"/>
      <c r="I43" s="8"/>
      <c r="J43" s="5">
        <f t="shared" si="2"/>
        <v>0</v>
      </c>
      <c r="K43" s="35"/>
    </row>
    <row r="44" spans="1:11" ht="15" customHeight="1" thickBot="1">
      <c r="C44" s="15"/>
      <c r="D44" s="15"/>
      <c r="E44" s="15"/>
      <c r="F44" s="15"/>
      <c r="G44" s="15"/>
      <c r="H44" s="15"/>
      <c r="I44" s="15"/>
      <c r="J44" s="18">
        <f>SUM(J$13:J$43)</f>
        <v>0</v>
      </c>
    </row>
    <row r="45" spans="1:11" ht="13.25" customHeight="1">
      <c r="C45" s="15"/>
      <c r="D45" s="15"/>
      <c r="E45" s="15"/>
      <c r="F45" s="15"/>
      <c r="G45" s="15"/>
      <c r="H45" s="15"/>
      <c r="I45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3">
    <cfRule type="containsText" dxfId="23" priority="1" operator="containsText" text="DOM">
      <formula>NOT(ISERROR(SEARCH("DOM",B13)))</formula>
    </cfRule>
    <cfRule type="containsText" dxfId="22" priority="2" operator="containsText" text="SAB">
      <formula>NOT(ISERROR(SEARCH("SAB",B13)))</formula>
    </cfRule>
  </conditionalFormatting>
  <conditionalFormatting sqref="G13:I43">
    <cfRule type="expression" dxfId="21" priority="7" stopIfTrue="1">
      <formula>AND(#REF!=0,0=#REF!)</formula>
    </cfRule>
  </conditionalFormatting>
  <conditionalFormatting sqref="K13:K43">
    <cfRule type="expression" dxfId="20" priority="3" stopIfTrue="1">
      <formula>AND(#REF!=0,0=#REF!)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3FD5-ED1F-46A1-9704-68D855753C08}">
  <dimension ref="A1:K45"/>
  <sheetViews>
    <sheetView workbookViewId="0">
      <selection activeCell="H6" sqref="H6"/>
    </sheetView>
  </sheetViews>
  <sheetFormatPr baseColWidth="10" defaultColWidth="9.796875" defaultRowHeight="12"/>
  <cols>
    <col min="1" max="9" width="9.796875" style="4"/>
    <col min="10" max="10" width="12.796875" style="2" customWidth="1"/>
    <col min="11" max="11" width="21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13.5" customHeight="1" thickBot="1">
      <c r="A4" s="1" t="s">
        <v>1</v>
      </c>
      <c r="B4" s="16">
        <v>45870</v>
      </c>
      <c r="C4" s="72" t="s">
        <v>17</v>
      </c>
      <c r="D4" s="73">
        <v>45900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45870</v>
      </c>
      <c r="C5" s="72"/>
      <c r="D5" s="74">
        <f>D4</f>
        <v>45900</v>
      </c>
      <c r="E5" s="74"/>
      <c r="H5" s="78">
        <f>21*8</f>
        <v>168</v>
      </c>
      <c r="I5" s="79"/>
      <c r="J5" s="31">
        <f>J44-H5</f>
        <v>-168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'Julho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57" t="str">
        <f>'Julho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45870</v>
      </c>
      <c r="B13" s="61" t="str">
        <f>IF(A13=0,0,MID("DOMSegTerQuaQuiSexSAB",3*WEEKDAY(A13)-2,3))</f>
        <v>Sex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3" si="0">IF(A13&gt;=$D$4,0,IF(A13=0,0,1+A13))</f>
        <v>45871</v>
      </c>
      <c r="B14" s="62" t="str">
        <f t="shared" ref="B14:B42" si="1">IF(A14=0,0,MID("DOMSegTerQuaQuiSexSAB",3*WEEKDAY(A14)-2,3))</f>
        <v>SAB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si="0"/>
        <v>45872</v>
      </c>
      <c r="B15" s="62" t="str">
        <f t="shared" si="1"/>
        <v>DOM</v>
      </c>
      <c r="C15" s="8"/>
      <c r="D15" s="8"/>
      <c r="E15" s="9"/>
      <c r="F15" s="9"/>
      <c r="G15" s="9"/>
      <c r="H15" s="9"/>
      <c r="I15" s="8"/>
      <c r="J15" s="5">
        <f t="shared" ref="J15:J43" si="2">(D15-C15+F15-E15+H15-G15)*24</f>
        <v>0</v>
      </c>
      <c r="K15" s="35"/>
    </row>
    <row r="16" spans="1:11">
      <c r="A16" s="7">
        <f t="shared" si="0"/>
        <v>45873</v>
      </c>
      <c r="B16" s="62" t="str">
        <f t="shared" si="1"/>
        <v>Seg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>
      <c r="A17" s="7">
        <f t="shared" si="0"/>
        <v>45874</v>
      </c>
      <c r="B17" s="62" t="str">
        <f t="shared" si="1"/>
        <v>Ter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</row>
    <row r="18" spans="1:11">
      <c r="A18" s="7">
        <f t="shared" si="0"/>
        <v>45875</v>
      </c>
      <c r="B18" s="62" t="str">
        <f t="shared" si="1"/>
        <v>Qua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</row>
    <row r="19" spans="1:11">
      <c r="A19" s="7">
        <f t="shared" si="0"/>
        <v>45876</v>
      </c>
      <c r="B19" s="62" t="str">
        <f t="shared" si="1"/>
        <v>Qui</v>
      </c>
      <c r="C19" s="11"/>
      <c r="D19" s="11"/>
      <c r="E19" s="12"/>
      <c r="F19" s="12"/>
      <c r="G19" s="12"/>
      <c r="H19" s="12"/>
      <c r="I19" s="11"/>
      <c r="J19" s="5">
        <f t="shared" si="2"/>
        <v>0</v>
      </c>
      <c r="K19" s="36"/>
    </row>
    <row r="20" spans="1:11">
      <c r="A20" s="7">
        <f t="shared" si="0"/>
        <v>45877</v>
      </c>
      <c r="B20" s="62" t="str">
        <f t="shared" si="1"/>
        <v>Sex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45878</v>
      </c>
      <c r="B21" s="62" t="str">
        <f t="shared" si="1"/>
        <v>SAB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45879</v>
      </c>
      <c r="B22" s="62" t="str">
        <f t="shared" si="1"/>
        <v>DOM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1">
      <c r="A23" s="7">
        <f t="shared" si="0"/>
        <v>45880</v>
      </c>
      <c r="B23" s="62" t="str">
        <f t="shared" si="1"/>
        <v>Seg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>
      <c r="A24" s="13">
        <f t="shared" si="0"/>
        <v>45881</v>
      </c>
      <c r="B24" s="63" t="str">
        <f t="shared" si="1"/>
        <v>Ter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>
      <c r="A25" s="13">
        <f t="shared" si="0"/>
        <v>45882</v>
      </c>
      <c r="B25" s="62" t="str">
        <f t="shared" si="1"/>
        <v>Qua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>
      <c r="A26" s="7">
        <f t="shared" si="0"/>
        <v>45883</v>
      </c>
      <c r="B26" s="62" t="str">
        <f t="shared" si="1"/>
        <v>Qui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>
      <c r="A27" s="7">
        <f t="shared" si="0"/>
        <v>45884</v>
      </c>
      <c r="B27" s="62" t="str">
        <f t="shared" si="1"/>
        <v>Sex</v>
      </c>
      <c r="C27" s="8"/>
      <c r="D27" s="8"/>
      <c r="E27" s="9"/>
      <c r="F27" s="9"/>
      <c r="G27" s="14"/>
      <c r="H27" s="9"/>
      <c r="I27" s="8"/>
      <c r="J27" s="5">
        <f t="shared" si="2"/>
        <v>0</v>
      </c>
      <c r="K27" s="37"/>
    </row>
    <row r="28" spans="1:11">
      <c r="A28" s="7">
        <f t="shared" si="0"/>
        <v>45885</v>
      </c>
      <c r="B28" s="62" t="str">
        <f t="shared" si="1"/>
        <v>SAB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45886</v>
      </c>
      <c r="B29" s="62" t="str">
        <f t="shared" si="1"/>
        <v>DOM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1">
      <c r="A30" s="7">
        <f t="shared" si="0"/>
        <v>45887</v>
      </c>
      <c r="B30" s="62" t="str">
        <f t="shared" si="1"/>
        <v>Seg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1">
      <c r="A31" s="7">
        <f t="shared" si="0"/>
        <v>45888</v>
      </c>
      <c r="B31" s="62" t="str">
        <f t="shared" si="1"/>
        <v>Ter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45889</v>
      </c>
      <c r="B32" s="62" t="str">
        <f t="shared" si="1"/>
        <v>Qua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45890</v>
      </c>
      <c r="B33" s="62" t="str">
        <f t="shared" si="1"/>
        <v>Qui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45891</v>
      </c>
      <c r="B34" s="62" t="str">
        <f t="shared" si="1"/>
        <v>Sex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45892</v>
      </c>
      <c r="B35" s="62" t="str">
        <f t="shared" si="1"/>
        <v>SAB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45893</v>
      </c>
      <c r="B36" s="62" t="str">
        <f t="shared" si="1"/>
        <v>DOM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45894</v>
      </c>
      <c r="B37" s="62" t="str">
        <f t="shared" si="1"/>
        <v>Seg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45895</v>
      </c>
      <c r="B38" s="62" t="str">
        <f t="shared" si="1"/>
        <v>Ter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45896</v>
      </c>
      <c r="B39" s="62" t="str">
        <f t="shared" si="1"/>
        <v>Qua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45897</v>
      </c>
      <c r="B40" s="62" t="str">
        <f t="shared" si="1"/>
        <v>Qui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45898</v>
      </c>
      <c r="B41" s="62" t="str">
        <f t="shared" si="1"/>
        <v>Sex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>
      <c r="A42" s="7">
        <f t="shared" si="0"/>
        <v>45899</v>
      </c>
      <c r="B42" s="62" t="str">
        <f t="shared" si="1"/>
        <v>SAB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3" thickBot="1">
      <c r="A43" s="7">
        <f t="shared" si="0"/>
        <v>45900</v>
      </c>
      <c r="B43" s="62" t="str">
        <f>IF(A43=0,0,MID("DOMSegTerQuaQuiSexSAB",3*WEEKDAY(A43)-2,3))</f>
        <v>DOM</v>
      </c>
      <c r="C43" s="8"/>
      <c r="D43" s="8"/>
      <c r="E43" s="8"/>
      <c r="F43" s="9"/>
      <c r="G43" s="9"/>
      <c r="H43" s="9"/>
      <c r="I43" s="8"/>
      <c r="J43" s="5">
        <f t="shared" si="2"/>
        <v>0</v>
      </c>
      <c r="K43" s="35"/>
    </row>
    <row r="44" spans="1:11" ht="15" customHeight="1" thickBot="1">
      <c r="C44" s="15"/>
      <c r="D44" s="15"/>
      <c r="E44" s="15"/>
      <c r="F44" s="15"/>
      <c r="G44" s="15"/>
      <c r="H44" s="15"/>
      <c r="I44" s="15"/>
      <c r="J44" s="18">
        <f>SUM(J$13:J$43)</f>
        <v>0</v>
      </c>
    </row>
    <row r="45" spans="1:11" ht="13.25" customHeight="1">
      <c r="C45" s="15"/>
      <c r="D45" s="15"/>
      <c r="E45" s="15"/>
      <c r="F45" s="15"/>
      <c r="G45" s="15"/>
      <c r="H45" s="15"/>
      <c r="I45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3">
    <cfRule type="containsText" dxfId="19" priority="1" operator="containsText" text="DOM">
      <formula>NOT(ISERROR(SEARCH("DOM",B13)))</formula>
    </cfRule>
    <cfRule type="containsText" dxfId="18" priority="2" operator="containsText" text="SAB">
      <formula>NOT(ISERROR(SEARCH("SAB",B13)))</formula>
    </cfRule>
  </conditionalFormatting>
  <conditionalFormatting sqref="G13:I43">
    <cfRule type="expression" dxfId="17" priority="7" stopIfTrue="1">
      <formula>AND(#REF!=0,0=#REF!)</formula>
    </cfRule>
  </conditionalFormatting>
  <conditionalFormatting sqref="K13:K43">
    <cfRule type="expression" dxfId="16" priority="3" stopIfTrue="1">
      <formula>AND(#REF!=0,0=#REF!)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9CCE-A088-43AD-972F-3B2BE4B524D6}">
  <dimension ref="A1:K44"/>
  <sheetViews>
    <sheetView workbookViewId="0">
      <selection activeCell="D5" sqref="D5:E5"/>
    </sheetView>
  </sheetViews>
  <sheetFormatPr baseColWidth="10" defaultColWidth="9.796875" defaultRowHeight="11.25" customHeight="1"/>
  <cols>
    <col min="1" max="9" width="9.796875" style="4"/>
    <col min="10" max="10" width="12.19921875" style="2" customWidth="1"/>
    <col min="11" max="11" width="21" style="4" customWidth="1"/>
    <col min="12" max="16384" width="9.796875" style="4"/>
  </cols>
  <sheetData>
    <row r="1" spans="1:11" ht="12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2"/>
    <row r="4" spans="1:11" ht="13.5" customHeight="1">
      <c r="A4" s="1" t="s">
        <v>1</v>
      </c>
      <c r="B4" s="16">
        <v>45901</v>
      </c>
      <c r="C4" s="72" t="s">
        <v>17</v>
      </c>
      <c r="D4" s="73">
        <v>45930</v>
      </c>
      <c r="E4" s="73"/>
      <c r="H4" s="76" t="s">
        <v>26</v>
      </c>
      <c r="I4" s="77"/>
      <c r="J4" s="32" t="s">
        <v>27</v>
      </c>
    </row>
    <row r="5" spans="1:11" ht="13.5" customHeight="1">
      <c r="B5" s="17">
        <f>B4</f>
        <v>45901</v>
      </c>
      <c r="C5" s="72"/>
      <c r="D5" s="74">
        <f>D4</f>
        <v>45930</v>
      </c>
      <c r="E5" s="74"/>
      <c r="H5" s="78">
        <f>21*8</f>
        <v>168</v>
      </c>
      <c r="I5" s="79"/>
      <c r="J5" s="31">
        <f>J43-H5</f>
        <v>-168</v>
      </c>
    </row>
    <row r="6" spans="1:11" ht="12">
      <c r="C6" s="6"/>
      <c r="E6" s="6"/>
      <c r="H6" s="28"/>
      <c r="I6" s="29"/>
      <c r="J6" s="29"/>
      <c r="K6" s="30"/>
    </row>
    <row r="7" spans="1:11" ht="12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38" t="str">
        <f>'Agosto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1" ht="16.5" customHeight="1">
      <c r="A9" s="27" t="s">
        <v>29</v>
      </c>
      <c r="B9" s="57" t="str">
        <f>'Agosto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 ht="12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 ht="12">
      <c r="A13" s="20">
        <f>B4</f>
        <v>45901</v>
      </c>
      <c r="B13" s="61" t="str">
        <f>IF(A13=0,0,MID("DOMSegTerQuaQuiSexSAB",3*WEEKDAY(A13)-2,3))</f>
        <v>Seg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 ht="12">
      <c r="A14" s="7">
        <f t="shared" ref="A14:A42" si="0">IF(A13&gt;=$D$4,0,IF(A13=0,0,1+A13))</f>
        <v>45902</v>
      </c>
      <c r="B14" s="62" t="str">
        <f t="shared" ref="B14:B42" si="1">IF(A14=0,0,MID("DOMSegTerQuaQuiSexSAB",3*WEEKDAY(A14)-2,3))</f>
        <v>Ter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 ht="12">
      <c r="A15" s="7">
        <f t="shared" si="0"/>
        <v>45903</v>
      </c>
      <c r="B15" s="62" t="str">
        <f t="shared" si="1"/>
        <v>Qua</v>
      </c>
      <c r="C15" s="8"/>
      <c r="D15" s="8"/>
      <c r="E15" s="9"/>
      <c r="F15" s="9"/>
      <c r="G15" s="9"/>
      <c r="H15" s="9"/>
      <c r="I15" s="8"/>
      <c r="J15" s="5">
        <f t="shared" ref="J15:J42" si="2">(D15-C15+F15-E15+H15-G15)*24</f>
        <v>0</v>
      </c>
      <c r="K15" s="35"/>
    </row>
    <row r="16" spans="1:11" ht="12">
      <c r="A16" s="7">
        <f t="shared" si="0"/>
        <v>45904</v>
      </c>
      <c r="B16" s="62" t="str">
        <f t="shared" si="1"/>
        <v>Qui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 ht="12">
      <c r="A17" s="7">
        <f t="shared" si="0"/>
        <v>45905</v>
      </c>
      <c r="B17" s="62" t="str">
        <f t="shared" si="1"/>
        <v>Sex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</row>
    <row r="18" spans="1:11" ht="12">
      <c r="A18" s="7">
        <f t="shared" si="0"/>
        <v>45906</v>
      </c>
      <c r="B18" s="62" t="str">
        <f t="shared" si="1"/>
        <v>SAB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</row>
    <row r="19" spans="1:11" ht="12">
      <c r="A19" s="7">
        <f t="shared" si="0"/>
        <v>45907</v>
      </c>
      <c r="B19" s="62" t="str">
        <f t="shared" si="1"/>
        <v>DOM</v>
      </c>
      <c r="C19" s="11"/>
      <c r="D19" s="11"/>
      <c r="E19" s="12"/>
      <c r="F19" s="12"/>
      <c r="G19" s="12"/>
      <c r="H19" s="12"/>
      <c r="I19" s="11"/>
      <c r="J19" s="5">
        <f t="shared" si="2"/>
        <v>0</v>
      </c>
      <c r="K19" s="36"/>
    </row>
    <row r="20" spans="1:11" ht="12">
      <c r="A20" s="7">
        <f t="shared" si="0"/>
        <v>45908</v>
      </c>
      <c r="B20" s="62" t="str">
        <f t="shared" si="1"/>
        <v>Seg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 ht="12">
      <c r="A21" s="7">
        <f t="shared" si="0"/>
        <v>45909</v>
      </c>
      <c r="B21" s="62" t="str">
        <f t="shared" si="1"/>
        <v>Ter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 ht="12">
      <c r="A22" s="7">
        <f t="shared" si="0"/>
        <v>45910</v>
      </c>
      <c r="B22" s="62" t="str">
        <f t="shared" si="1"/>
        <v>Qua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1" ht="12">
      <c r="A23" s="7">
        <f t="shared" si="0"/>
        <v>45911</v>
      </c>
      <c r="B23" s="62" t="str">
        <f t="shared" si="1"/>
        <v>Qui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 ht="12">
      <c r="A24" s="13">
        <f t="shared" si="0"/>
        <v>45912</v>
      </c>
      <c r="B24" s="63" t="str">
        <f t="shared" si="1"/>
        <v>Sex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 ht="12">
      <c r="A25" s="13">
        <f t="shared" si="0"/>
        <v>45913</v>
      </c>
      <c r="B25" s="63" t="str">
        <f t="shared" si="1"/>
        <v>SAB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 ht="12">
      <c r="A26" s="7">
        <f t="shared" si="0"/>
        <v>45914</v>
      </c>
      <c r="B26" s="62" t="str">
        <f t="shared" si="1"/>
        <v>DOM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 ht="12">
      <c r="A27" s="7">
        <f t="shared" si="0"/>
        <v>45915</v>
      </c>
      <c r="B27" s="62" t="str">
        <f t="shared" si="1"/>
        <v>Seg</v>
      </c>
      <c r="C27" s="8"/>
      <c r="D27" s="8"/>
      <c r="E27" s="9"/>
      <c r="F27" s="9"/>
      <c r="G27" s="14"/>
      <c r="H27" s="9"/>
      <c r="I27" s="8"/>
      <c r="J27" s="5">
        <f t="shared" si="2"/>
        <v>0</v>
      </c>
      <c r="K27" s="37"/>
    </row>
    <row r="28" spans="1:11" ht="12">
      <c r="A28" s="7">
        <f t="shared" si="0"/>
        <v>45916</v>
      </c>
      <c r="B28" s="62" t="str">
        <f t="shared" si="1"/>
        <v>Ter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 ht="12">
      <c r="A29" s="7">
        <f t="shared" si="0"/>
        <v>45917</v>
      </c>
      <c r="B29" s="62" t="str">
        <f t="shared" si="1"/>
        <v>Qua</v>
      </c>
      <c r="C29" s="8"/>
      <c r="D29" s="8"/>
      <c r="E29" s="9"/>
      <c r="F29" s="9"/>
      <c r="G29" s="9"/>
      <c r="H29" s="9"/>
      <c r="I29" s="8"/>
      <c r="J29" s="5">
        <f>(D29-C29+F29-E29+H29-G29)*24</f>
        <v>0</v>
      </c>
      <c r="K29" s="35"/>
    </row>
    <row r="30" spans="1:11" ht="12">
      <c r="A30" s="7">
        <f t="shared" si="0"/>
        <v>45918</v>
      </c>
      <c r="B30" s="62" t="str">
        <f t="shared" si="1"/>
        <v>Qui</v>
      </c>
      <c r="C30" s="8"/>
      <c r="D30" s="8"/>
      <c r="E30" s="9"/>
      <c r="F30" s="9"/>
      <c r="G30" s="9"/>
      <c r="H30" s="9"/>
      <c r="I30" s="8"/>
      <c r="J30" s="5">
        <f>(D30-C30+F30-E30+H30-G30)*24</f>
        <v>0</v>
      </c>
      <c r="K30" s="35"/>
    </row>
    <row r="31" spans="1:11" ht="12">
      <c r="A31" s="7">
        <f t="shared" si="0"/>
        <v>45919</v>
      </c>
      <c r="B31" s="62" t="str">
        <f t="shared" si="1"/>
        <v>Sex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 ht="12">
      <c r="A32" s="7">
        <f t="shared" si="0"/>
        <v>45920</v>
      </c>
      <c r="B32" s="62" t="str">
        <f t="shared" si="1"/>
        <v>SAB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 ht="12">
      <c r="A33" s="7">
        <f t="shared" si="0"/>
        <v>45921</v>
      </c>
      <c r="B33" s="62" t="str">
        <f t="shared" si="1"/>
        <v>DOM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 ht="12">
      <c r="A34" s="7">
        <f t="shared" si="0"/>
        <v>45922</v>
      </c>
      <c r="B34" s="62" t="str">
        <f t="shared" si="1"/>
        <v>Seg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 ht="12">
      <c r="A35" s="7">
        <f t="shared" si="0"/>
        <v>45923</v>
      </c>
      <c r="B35" s="62" t="str">
        <f t="shared" si="1"/>
        <v>Ter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 ht="12">
      <c r="A36" s="7">
        <f t="shared" si="0"/>
        <v>45924</v>
      </c>
      <c r="B36" s="62" t="str">
        <f t="shared" si="1"/>
        <v>Qua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 ht="12">
      <c r="A37" s="7">
        <f t="shared" si="0"/>
        <v>45925</v>
      </c>
      <c r="B37" s="62" t="str">
        <f t="shared" si="1"/>
        <v>Qui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 ht="12">
      <c r="A38" s="7">
        <f t="shared" si="0"/>
        <v>45926</v>
      </c>
      <c r="B38" s="62" t="str">
        <f t="shared" si="1"/>
        <v>Sex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 ht="12">
      <c r="A39" s="7">
        <f t="shared" si="0"/>
        <v>45927</v>
      </c>
      <c r="B39" s="62" t="str">
        <f t="shared" si="1"/>
        <v>SAB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 ht="12">
      <c r="A40" s="7">
        <f t="shared" si="0"/>
        <v>45928</v>
      </c>
      <c r="B40" s="62" t="str">
        <f t="shared" si="1"/>
        <v>DOM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 ht="12">
      <c r="A41" s="7">
        <f t="shared" si="0"/>
        <v>45929</v>
      </c>
      <c r="B41" s="62" t="str">
        <f t="shared" si="1"/>
        <v>Seg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 ht="12">
      <c r="A42" s="7">
        <f t="shared" si="0"/>
        <v>45930</v>
      </c>
      <c r="B42" s="62" t="str">
        <f t="shared" si="1"/>
        <v>Ter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5" customHeight="1">
      <c r="C43" s="15"/>
      <c r="D43" s="15"/>
      <c r="E43" s="15"/>
      <c r="F43" s="15"/>
      <c r="G43" s="15"/>
      <c r="H43" s="15"/>
      <c r="I43" s="15"/>
      <c r="J43" s="18">
        <f>SUM(J$13:J$42)</f>
        <v>0</v>
      </c>
    </row>
    <row r="44" spans="1:11" ht="13.25" customHeight="1">
      <c r="C44" s="15"/>
      <c r="D44" s="15"/>
      <c r="E44" s="15"/>
      <c r="F44" s="15"/>
      <c r="G44" s="15"/>
      <c r="H44" s="15"/>
      <c r="I44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2">
    <cfRule type="containsText" dxfId="15" priority="1" operator="containsText" text="DOM">
      <formula>NOT(ISERROR(SEARCH("DOM",B13)))</formula>
    </cfRule>
    <cfRule type="containsText" dxfId="14" priority="2" operator="containsText" text="SAB">
      <formula>NOT(ISERROR(SEARCH("SAB",B13)))</formula>
    </cfRule>
  </conditionalFormatting>
  <conditionalFormatting sqref="G13:I42">
    <cfRule type="expression" dxfId="13" priority="7" stopIfTrue="1">
      <formula>AND(#REF!=0,0=#REF!)</formula>
    </cfRule>
  </conditionalFormatting>
  <conditionalFormatting sqref="K13:K42">
    <cfRule type="expression" dxfId="12" priority="3" stopIfTrue="1">
      <formula>AND(#REF!=0,0=#REF!)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B782-789D-4DB5-AD7B-A01128D14131}">
  <dimension ref="A1:K45"/>
  <sheetViews>
    <sheetView workbookViewId="0">
      <selection activeCell="D5" sqref="D5:E5"/>
    </sheetView>
  </sheetViews>
  <sheetFormatPr baseColWidth="10" defaultColWidth="9.796875" defaultRowHeight="12"/>
  <cols>
    <col min="1" max="5" width="9.796875" style="4"/>
    <col min="6" max="6" width="6.59765625" style="4" bestFit="1" customWidth="1"/>
    <col min="7" max="7" width="10.19921875" style="4" customWidth="1"/>
    <col min="8" max="8" width="9.796875" style="4" customWidth="1"/>
    <col min="9" max="9" width="9.796875" style="4"/>
    <col min="10" max="10" width="12.3984375" style="2" customWidth="1"/>
    <col min="11" max="11" width="21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17.25" customHeight="1" thickBot="1">
      <c r="A4" s="1" t="s">
        <v>1</v>
      </c>
      <c r="B4" s="16">
        <v>45931</v>
      </c>
      <c r="C4" s="72" t="s">
        <v>17</v>
      </c>
      <c r="D4" s="73">
        <v>45961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45931</v>
      </c>
      <c r="C5" s="72"/>
      <c r="D5" s="74">
        <f>D4</f>
        <v>45961</v>
      </c>
      <c r="E5" s="74"/>
      <c r="H5" s="78">
        <f>23*8</f>
        <v>184</v>
      </c>
      <c r="I5" s="79"/>
      <c r="J5" s="31">
        <f>J44-H5</f>
        <v>-184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82" t="str">
        <f>'Setembro - 2025'!B8</f>
        <v>Helbert William Duarte Teixeira</v>
      </c>
      <c r="C8" s="83"/>
      <c r="D8" s="83"/>
      <c r="E8" s="83"/>
      <c r="F8" s="84"/>
      <c r="G8" s="3"/>
      <c r="H8" s="3"/>
      <c r="I8" s="3"/>
      <c r="J8" s="3"/>
    </row>
    <row r="9" spans="1:11" ht="16.5" customHeight="1">
      <c r="A9" s="27" t="s">
        <v>29</v>
      </c>
      <c r="B9" s="57" t="str">
        <f>'Setembro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45931</v>
      </c>
      <c r="B13" s="62" t="str">
        <f>IF(A13=0,0,MID("DOMSegTerQuaQuiSexSAB",3*WEEKDAY(A13)-2,3))</f>
        <v>Qua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3" si="0">IF(A13&gt;=$D$4,0,IF(A13=0,0,1+A13))</f>
        <v>45932</v>
      </c>
      <c r="B14" s="62" t="str">
        <f t="shared" ref="B14:B42" si="1">IF(A14=0,0,MID("DOMSegTerQuaQuiSexSAB",3*WEEKDAY(A14)-2,3))</f>
        <v>Qui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si="0"/>
        <v>45933</v>
      </c>
      <c r="B15" s="62" t="str">
        <f t="shared" si="1"/>
        <v>Sex</v>
      </c>
      <c r="C15" s="8"/>
      <c r="D15" s="8"/>
      <c r="E15" s="9"/>
      <c r="F15" s="9"/>
      <c r="G15" s="9"/>
      <c r="H15" s="9"/>
      <c r="I15" s="8"/>
      <c r="J15" s="5">
        <f t="shared" ref="J15:J43" si="2">(D15-C15+F15-E15+H15-G15)*24</f>
        <v>0</v>
      </c>
      <c r="K15" s="35"/>
    </row>
    <row r="16" spans="1:11">
      <c r="A16" s="7">
        <f t="shared" si="0"/>
        <v>45934</v>
      </c>
      <c r="B16" s="62" t="str">
        <f t="shared" si="1"/>
        <v>SAB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</row>
    <row r="17" spans="1:11">
      <c r="A17" s="7">
        <f t="shared" si="0"/>
        <v>45935</v>
      </c>
      <c r="B17" s="62" t="str">
        <f t="shared" si="1"/>
        <v>DOM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</row>
    <row r="18" spans="1:11">
      <c r="A18" s="7">
        <f t="shared" si="0"/>
        <v>45936</v>
      </c>
      <c r="B18" s="62" t="str">
        <f t="shared" si="1"/>
        <v>Seg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</row>
    <row r="19" spans="1:11">
      <c r="A19" s="7">
        <f t="shared" si="0"/>
        <v>45937</v>
      </c>
      <c r="B19" s="62" t="str">
        <f t="shared" si="1"/>
        <v>Ter</v>
      </c>
      <c r="C19" s="11"/>
      <c r="D19" s="11"/>
      <c r="E19" s="12"/>
      <c r="F19" s="12"/>
      <c r="G19" s="12"/>
      <c r="H19" s="12"/>
      <c r="I19" s="11"/>
      <c r="J19" s="5">
        <f t="shared" si="2"/>
        <v>0</v>
      </c>
      <c r="K19" s="36"/>
    </row>
    <row r="20" spans="1:11">
      <c r="A20" s="7">
        <f t="shared" si="0"/>
        <v>45938</v>
      </c>
      <c r="B20" s="62" t="str">
        <f t="shared" si="1"/>
        <v>Qua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45939</v>
      </c>
      <c r="B21" s="62" t="str">
        <f t="shared" si="1"/>
        <v>Qui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45940</v>
      </c>
      <c r="B22" s="62" t="str">
        <f t="shared" si="1"/>
        <v>Sex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1">
      <c r="A23" s="7">
        <f t="shared" si="0"/>
        <v>45941</v>
      </c>
      <c r="B23" s="62" t="str">
        <f t="shared" si="1"/>
        <v>SAB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>
      <c r="A24" s="13">
        <f t="shared" si="0"/>
        <v>45942</v>
      </c>
      <c r="B24" s="63" t="str">
        <f t="shared" si="1"/>
        <v>DOM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>
      <c r="A25" s="13">
        <f t="shared" si="0"/>
        <v>45943</v>
      </c>
      <c r="B25" s="63" t="str">
        <f t="shared" si="1"/>
        <v>Seg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>
      <c r="A26" s="7">
        <f t="shared" si="0"/>
        <v>45944</v>
      </c>
      <c r="B26" s="62" t="str">
        <f t="shared" si="1"/>
        <v>Ter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>
      <c r="A27" s="7">
        <f t="shared" si="0"/>
        <v>45945</v>
      </c>
      <c r="B27" s="62" t="str">
        <f t="shared" si="1"/>
        <v>Qua</v>
      </c>
      <c r="C27" s="8"/>
      <c r="D27" s="8"/>
      <c r="E27" s="9"/>
      <c r="F27" s="9"/>
      <c r="G27" s="14"/>
      <c r="H27" s="9"/>
      <c r="I27" s="8"/>
      <c r="J27" s="5">
        <f t="shared" si="2"/>
        <v>0</v>
      </c>
      <c r="K27" s="37"/>
    </row>
    <row r="28" spans="1:11">
      <c r="A28" s="7">
        <f t="shared" si="0"/>
        <v>45946</v>
      </c>
      <c r="B28" s="62" t="str">
        <f t="shared" si="1"/>
        <v>Qui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45947</v>
      </c>
      <c r="B29" s="62" t="str">
        <f t="shared" si="1"/>
        <v>Sex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1">
      <c r="A30" s="7">
        <f t="shared" si="0"/>
        <v>45948</v>
      </c>
      <c r="B30" s="62" t="str">
        <f t="shared" si="1"/>
        <v>SAB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1">
      <c r="A31" s="7">
        <f t="shared" si="0"/>
        <v>45949</v>
      </c>
      <c r="B31" s="62" t="str">
        <f t="shared" si="1"/>
        <v>DOM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45950</v>
      </c>
      <c r="B32" s="62" t="str">
        <f t="shared" si="1"/>
        <v>Seg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45951</v>
      </c>
      <c r="B33" s="62" t="str">
        <f t="shared" si="1"/>
        <v>Ter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45952</v>
      </c>
      <c r="B34" s="62" t="str">
        <f t="shared" si="1"/>
        <v>Qua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45953</v>
      </c>
      <c r="B35" s="62" t="str">
        <f t="shared" si="1"/>
        <v>Qui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45954</v>
      </c>
      <c r="B36" s="62" t="str">
        <f t="shared" si="1"/>
        <v>Sex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45955</v>
      </c>
      <c r="B37" s="62" t="str">
        <f t="shared" si="1"/>
        <v>SAB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45956</v>
      </c>
      <c r="B38" s="62" t="str">
        <f t="shared" si="1"/>
        <v>DOM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45957</v>
      </c>
      <c r="B39" s="62" t="str">
        <f t="shared" si="1"/>
        <v>Seg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45958</v>
      </c>
      <c r="B40" s="62" t="str">
        <f t="shared" si="1"/>
        <v>Ter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45959</v>
      </c>
      <c r="B41" s="62" t="str">
        <f t="shared" si="1"/>
        <v>Qua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>
      <c r="A42" s="7">
        <f t="shared" si="0"/>
        <v>45960</v>
      </c>
      <c r="B42" s="62" t="str">
        <f t="shared" si="1"/>
        <v>Qui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3" thickBot="1">
      <c r="A43" s="7">
        <f t="shared" si="0"/>
        <v>45961</v>
      </c>
      <c r="B43" s="62" t="str">
        <f>IF(A43=0,0,MID("DOMSegTerQuaQuiSexSAB",3*WEEKDAY(A43)-2,3))</f>
        <v>Sex</v>
      </c>
      <c r="C43" s="8"/>
      <c r="D43" s="8"/>
      <c r="E43" s="8"/>
      <c r="F43" s="9"/>
      <c r="G43" s="9"/>
      <c r="H43" s="9"/>
      <c r="I43" s="8"/>
      <c r="J43" s="5">
        <f t="shared" si="2"/>
        <v>0</v>
      </c>
      <c r="K43" s="35"/>
    </row>
    <row r="44" spans="1:11" ht="15" customHeight="1" thickBot="1">
      <c r="C44" s="15"/>
      <c r="D44" s="15"/>
      <c r="E44" s="15"/>
      <c r="F44" s="15"/>
      <c r="G44" s="15"/>
      <c r="H44" s="15"/>
      <c r="I44" s="15"/>
      <c r="J44" s="18">
        <f>SUM(J$13:J$43)</f>
        <v>0</v>
      </c>
    </row>
    <row r="45" spans="1:11" ht="13.25" customHeight="1">
      <c r="C45" s="15"/>
      <c r="D45" s="15"/>
      <c r="E45" s="15"/>
      <c r="F45" s="15"/>
      <c r="G45" s="15"/>
      <c r="H45" s="15"/>
      <c r="I45" s="15"/>
    </row>
  </sheetData>
  <mergeCells count="8">
    <mergeCell ref="A12:B12"/>
    <mergeCell ref="A1:K2"/>
    <mergeCell ref="C4:C5"/>
    <mergeCell ref="D4:E4"/>
    <mergeCell ref="H4:I4"/>
    <mergeCell ref="D5:E5"/>
    <mergeCell ref="H5:I5"/>
    <mergeCell ref="B8:F8"/>
  </mergeCells>
  <conditionalFormatting sqref="B13:B43">
    <cfRule type="containsText" dxfId="11" priority="3" operator="containsText" text="DOM">
      <formula>NOT(ISERROR(SEARCH("DOM",B13)))</formula>
    </cfRule>
    <cfRule type="containsText" dxfId="10" priority="4" operator="containsText" text="SAB">
      <formula>NOT(ISERROR(SEARCH("SAB",B13)))</formula>
    </cfRule>
  </conditionalFormatting>
  <conditionalFormatting sqref="G13:I43">
    <cfRule type="expression" dxfId="9" priority="1" stopIfTrue="1">
      <formula>AND(#REF!=0,0=#REF!)</formula>
    </cfRule>
  </conditionalFormatting>
  <conditionalFormatting sqref="K13:K43">
    <cfRule type="expression" dxfId="8" priority="5" stopIfTrue="1">
      <formula>AND(#REF!=0,0=#REF!)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47E6-9CC0-43DD-96F0-6F05530A12C5}">
  <dimension ref="A1:K44"/>
  <sheetViews>
    <sheetView workbookViewId="0">
      <selection activeCell="D5" sqref="D5:E5"/>
    </sheetView>
  </sheetViews>
  <sheetFormatPr baseColWidth="10" defaultColWidth="9.796875" defaultRowHeight="12"/>
  <cols>
    <col min="1" max="9" width="9.796875" style="4"/>
    <col min="10" max="10" width="12.796875" style="2" customWidth="1"/>
    <col min="11" max="11" width="21" style="4" customWidth="1"/>
    <col min="12" max="16384" width="9.796875" style="4"/>
  </cols>
  <sheetData>
    <row r="1" spans="1:11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" thickBot="1"/>
    <row r="4" spans="1:11" ht="13.5" customHeight="1" thickBot="1">
      <c r="A4" s="1" t="s">
        <v>1</v>
      </c>
      <c r="B4" s="16">
        <v>45962</v>
      </c>
      <c r="C4" s="72" t="s">
        <v>17</v>
      </c>
      <c r="D4" s="73">
        <v>45991</v>
      </c>
      <c r="E4" s="73"/>
      <c r="H4" s="76" t="s">
        <v>26</v>
      </c>
      <c r="I4" s="77"/>
      <c r="J4" s="32" t="s">
        <v>27</v>
      </c>
    </row>
    <row r="5" spans="1:11" ht="13.5" customHeight="1" thickBot="1">
      <c r="B5" s="17">
        <f>B4</f>
        <v>45962</v>
      </c>
      <c r="C5" s="72"/>
      <c r="D5" s="74">
        <f>D4</f>
        <v>45991</v>
      </c>
      <c r="E5" s="74"/>
      <c r="H5" s="78">
        <f>19*8</f>
        <v>152</v>
      </c>
      <c r="I5" s="79"/>
      <c r="J5" s="31">
        <f>J43-H5</f>
        <v>-152</v>
      </c>
    </row>
    <row r="6" spans="1:11">
      <c r="C6" s="6"/>
      <c r="E6" s="6"/>
      <c r="H6" s="28"/>
      <c r="I6" s="29"/>
      <c r="J6" s="29"/>
      <c r="K6" s="30"/>
    </row>
    <row r="7" spans="1:11">
      <c r="C7" s="6"/>
      <c r="E7" s="6"/>
      <c r="G7" s="25"/>
      <c r="H7" s="2"/>
      <c r="I7" s="2"/>
      <c r="J7" s="26"/>
    </row>
    <row r="8" spans="1:11" ht="18.75" customHeight="1">
      <c r="A8" s="27" t="s">
        <v>28</v>
      </c>
      <c r="B8" s="85" t="str">
        <f>'Setembro - 2025'!B8</f>
        <v>Helbert William Duarte Teixeira</v>
      </c>
      <c r="C8" s="86"/>
      <c r="D8" s="86"/>
      <c r="E8" s="86"/>
      <c r="F8" s="87"/>
      <c r="G8" s="3"/>
      <c r="H8" s="3"/>
      <c r="I8" s="3"/>
      <c r="J8" s="3"/>
    </row>
    <row r="9" spans="1:11" ht="16.5" customHeight="1">
      <c r="A9" s="56" t="s">
        <v>29</v>
      </c>
      <c r="B9" s="57" t="str">
        <f>'Outubro - 2025'!B9</f>
        <v>x</v>
      </c>
      <c r="C9" s="58"/>
      <c r="D9" s="58"/>
      <c r="E9" s="58"/>
      <c r="F9" s="59"/>
      <c r="G9" s="3"/>
      <c r="H9" s="3"/>
      <c r="I9" s="3"/>
      <c r="J9" s="3"/>
    </row>
    <row r="10" spans="1:11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1" ht="15" customHeight="1"/>
    <row r="12" spans="1:11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</row>
    <row r="13" spans="1:11">
      <c r="A13" s="20">
        <f>B4</f>
        <v>45962</v>
      </c>
      <c r="B13" s="61" t="str">
        <f>IF(A13=0,0,MID("DOMSegTerQuaQuiSexSAB",3*WEEKDAY(A13)-2,3))</f>
        <v>SAB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1">
      <c r="A14" s="7">
        <f t="shared" ref="A14:A42" si="0">IF(A13&gt;=$D$4,0,IF(A13=0,0,1+A13))</f>
        <v>45963</v>
      </c>
      <c r="B14" s="62" t="str">
        <f t="shared" ref="B14:B42" si="1">IF(A14=0,0,MID("DOMSegTerQuaQuiSexSAB",3*WEEKDAY(A14)-2,3))</f>
        <v>DOM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</row>
    <row r="15" spans="1:11">
      <c r="A15" s="7">
        <f t="shared" si="0"/>
        <v>45964</v>
      </c>
      <c r="B15" s="62" t="str">
        <f t="shared" si="1"/>
        <v>Seg</v>
      </c>
      <c r="C15" s="8"/>
      <c r="D15" s="8"/>
      <c r="E15" s="9"/>
      <c r="F15" s="9"/>
      <c r="G15" s="9"/>
      <c r="H15" s="9"/>
      <c r="I15" s="8"/>
      <c r="J15" s="5">
        <f>(D15-C15+F15-E15+H15-G15)*24</f>
        <v>0</v>
      </c>
      <c r="K15" s="35"/>
    </row>
    <row r="16" spans="1:11">
      <c r="A16" s="7">
        <f t="shared" si="0"/>
        <v>45965</v>
      </c>
      <c r="B16" s="62" t="str">
        <f t="shared" si="1"/>
        <v>Ter</v>
      </c>
      <c r="C16" s="8"/>
      <c r="D16" s="8"/>
      <c r="E16" s="9"/>
      <c r="F16" s="9"/>
      <c r="G16" s="9"/>
      <c r="H16" s="9"/>
      <c r="I16" s="8"/>
      <c r="J16" s="5">
        <f>(D16-C16+F16-E16+H16-G16)*24</f>
        <v>0</v>
      </c>
      <c r="K16" s="35"/>
    </row>
    <row r="17" spans="1:11">
      <c r="A17" s="7">
        <f t="shared" si="0"/>
        <v>45966</v>
      </c>
      <c r="B17" s="62" t="str">
        <f t="shared" si="1"/>
        <v>Qua</v>
      </c>
      <c r="C17" s="8"/>
      <c r="D17" s="8"/>
      <c r="E17" s="9"/>
      <c r="F17" s="9"/>
      <c r="G17" s="9"/>
      <c r="H17" s="9"/>
      <c r="I17" s="8"/>
      <c r="J17" s="5">
        <f t="shared" ref="J17:J42" si="2">(D17-C17+F17-E17+H17-G17)*24</f>
        <v>0</v>
      </c>
      <c r="K17" s="35"/>
    </row>
    <row r="18" spans="1:11">
      <c r="A18" s="7">
        <f t="shared" si="0"/>
        <v>45967</v>
      </c>
      <c r="B18" s="62" t="str">
        <f t="shared" si="1"/>
        <v>Qui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</row>
    <row r="19" spans="1:11">
      <c r="A19" s="7">
        <f t="shared" si="0"/>
        <v>45968</v>
      </c>
      <c r="B19" s="62" t="str">
        <f t="shared" si="1"/>
        <v>Sex</v>
      </c>
      <c r="C19" s="11"/>
      <c r="D19" s="11"/>
      <c r="E19" s="12"/>
      <c r="F19" s="12"/>
      <c r="G19" s="12"/>
      <c r="H19" s="12"/>
      <c r="I19" s="11"/>
      <c r="J19" s="5">
        <f t="shared" si="2"/>
        <v>0</v>
      </c>
      <c r="K19" s="36"/>
    </row>
    <row r="20" spans="1:11">
      <c r="A20" s="7">
        <f t="shared" si="0"/>
        <v>45969</v>
      </c>
      <c r="B20" s="62" t="str">
        <f t="shared" si="1"/>
        <v>SAB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1">
      <c r="A21" s="7">
        <f t="shared" si="0"/>
        <v>45970</v>
      </c>
      <c r="B21" s="62" t="str">
        <f t="shared" si="1"/>
        <v>DOM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1">
      <c r="A22" s="7">
        <f t="shared" si="0"/>
        <v>45971</v>
      </c>
      <c r="B22" s="62" t="str">
        <f t="shared" si="1"/>
        <v>Seg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1">
      <c r="A23" s="7">
        <f t="shared" si="0"/>
        <v>45972</v>
      </c>
      <c r="B23" s="62" t="str">
        <f t="shared" si="1"/>
        <v>Ter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1">
      <c r="A24" s="13">
        <f t="shared" si="0"/>
        <v>45973</v>
      </c>
      <c r="B24" s="62" t="str">
        <f t="shared" si="1"/>
        <v>Qua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1">
      <c r="A25" s="13">
        <f t="shared" si="0"/>
        <v>45974</v>
      </c>
      <c r="B25" s="62" t="str">
        <f t="shared" si="1"/>
        <v>Qui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1">
      <c r="A26" s="7">
        <f t="shared" si="0"/>
        <v>45975</v>
      </c>
      <c r="B26" s="62" t="str">
        <f t="shared" si="1"/>
        <v>Sex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1">
      <c r="A27" s="7">
        <f t="shared" si="0"/>
        <v>45976</v>
      </c>
      <c r="B27" s="33" t="str">
        <f t="shared" si="1"/>
        <v>SAB</v>
      </c>
      <c r="C27" s="8"/>
      <c r="D27" s="8"/>
      <c r="E27" s="9"/>
      <c r="F27" s="9"/>
      <c r="G27" s="14"/>
      <c r="H27" s="9"/>
      <c r="I27" s="8"/>
      <c r="J27" s="5">
        <f t="shared" si="2"/>
        <v>0</v>
      </c>
      <c r="K27" s="35"/>
    </row>
    <row r="28" spans="1:11">
      <c r="A28" s="7">
        <f t="shared" si="0"/>
        <v>45977</v>
      </c>
      <c r="B28" s="62" t="str">
        <f t="shared" si="1"/>
        <v>DOM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1">
      <c r="A29" s="7">
        <f t="shared" si="0"/>
        <v>45978</v>
      </c>
      <c r="B29" s="62" t="str">
        <f t="shared" si="1"/>
        <v>Seg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1">
      <c r="A30" s="7">
        <f t="shared" si="0"/>
        <v>45979</v>
      </c>
      <c r="B30" s="62" t="str">
        <f t="shared" si="1"/>
        <v>Ter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1">
      <c r="A31" s="7">
        <f t="shared" si="0"/>
        <v>45980</v>
      </c>
      <c r="B31" s="62" t="str">
        <f t="shared" si="1"/>
        <v>Qua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1">
      <c r="A32" s="7">
        <f t="shared" si="0"/>
        <v>45981</v>
      </c>
      <c r="B32" s="33" t="str">
        <f t="shared" si="1"/>
        <v>Qui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45982</v>
      </c>
      <c r="B33" s="62" t="str">
        <f t="shared" si="1"/>
        <v>Sex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45983</v>
      </c>
      <c r="B34" s="62" t="str">
        <f t="shared" si="1"/>
        <v>SAB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45984</v>
      </c>
      <c r="B35" s="62" t="str">
        <f t="shared" si="1"/>
        <v>DOM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45985</v>
      </c>
      <c r="B36" s="62" t="str">
        <f t="shared" si="1"/>
        <v>Seg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45986</v>
      </c>
      <c r="B37" s="62" t="str">
        <f t="shared" si="1"/>
        <v>Ter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45987</v>
      </c>
      <c r="B38" s="62" t="str">
        <f t="shared" si="1"/>
        <v>Qua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45988</v>
      </c>
      <c r="B39" s="62" t="str">
        <f t="shared" si="1"/>
        <v>Qui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45989</v>
      </c>
      <c r="B40" s="62" t="str">
        <f t="shared" si="1"/>
        <v>Sex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45990</v>
      </c>
      <c r="B41" s="62" t="str">
        <f t="shared" si="1"/>
        <v>SAB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 ht="13" thickBot="1">
      <c r="A42" s="7">
        <f t="shared" si="0"/>
        <v>45991</v>
      </c>
      <c r="B42" s="62" t="str">
        <f t="shared" si="1"/>
        <v>DOM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5" customHeight="1" thickBot="1">
      <c r="C43" s="15"/>
      <c r="D43" s="15"/>
      <c r="E43" s="15"/>
      <c r="F43" s="15"/>
      <c r="G43" s="15"/>
      <c r="H43" s="15"/>
      <c r="I43" s="15"/>
      <c r="J43" s="18">
        <f>SUM(J$13:J$42)</f>
        <v>0</v>
      </c>
    </row>
    <row r="44" spans="1:11" ht="13.25" customHeight="1">
      <c r="C44" s="15"/>
      <c r="D44" s="15"/>
      <c r="E44" s="15"/>
      <c r="F44" s="15"/>
      <c r="G44" s="15"/>
      <c r="H44" s="15"/>
      <c r="I44" s="15"/>
    </row>
  </sheetData>
  <mergeCells count="8">
    <mergeCell ref="A12:B12"/>
    <mergeCell ref="A1:K2"/>
    <mergeCell ref="C4:C5"/>
    <mergeCell ref="D4:E4"/>
    <mergeCell ref="H4:I4"/>
    <mergeCell ref="D5:E5"/>
    <mergeCell ref="H5:I5"/>
    <mergeCell ref="B8:F8"/>
  </mergeCells>
  <conditionalFormatting sqref="B13:B42">
    <cfRule type="containsText" dxfId="7" priority="1" operator="containsText" text="DOM">
      <formula>NOT(ISERROR(SEARCH("DOM",B13)))</formula>
    </cfRule>
    <cfRule type="containsText" dxfId="6" priority="2" operator="containsText" text="SAB">
      <formula>NOT(ISERROR(SEARCH("SAB",B13)))</formula>
    </cfRule>
  </conditionalFormatting>
  <conditionalFormatting sqref="G13:I42">
    <cfRule type="expression" dxfId="5" priority="8" stopIfTrue="1">
      <formula>AND(#REF!=0,0=#REF!)</formula>
    </cfRule>
  </conditionalFormatting>
  <conditionalFormatting sqref="K13:K42">
    <cfRule type="expression" dxfId="4" priority="3" stopIfTrue="1">
      <formula>AND(#REF!=0,0=#REF!)</formula>
    </cfRule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765D-729E-41BF-B4A2-278EFD652F0D}">
  <dimension ref="A1:M45"/>
  <sheetViews>
    <sheetView workbookViewId="0">
      <selection activeCell="N39" sqref="N39"/>
    </sheetView>
  </sheetViews>
  <sheetFormatPr baseColWidth="10" defaultColWidth="9.796875" defaultRowHeight="12"/>
  <cols>
    <col min="1" max="9" width="9.796875" style="4"/>
    <col min="10" max="10" width="12.19921875" style="2" customWidth="1"/>
    <col min="11" max="11" width="21" style="4" customWidth="1"/>
    <col min="12" max="16384" width="9.796875" style="4"/>
  </cols>
  <sheetData>
    <row r="1" spans="1:13" ht="12.75" customHeight="1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3" ht="11.2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3" ht="13" thickBot="1"/>
    <row r="4" spans="1:13" ht="13.5" customHeight="1" thickBot="1">
      <c r="A4" s="1" t="s">
        <v>1</v>
      </c>
      <c r="B4" s="16">
        <v>45992</v>
      </c>
      <c r="C4" s="72" t="s">
        <v>17</v>
      </c>
      <c r="D4" s="73">
        <v>46022</v>
      </c>
      <c r="E4" s="73"/>
      <c r="H4" s="76" t="s">
        <v>26</v>
      </c>
      <c r="I4" s="77"/>
      <c r="J4" s="32" t="s">
        <v>27</v>
      </c>
    </row>
    <row r="5" spans="1:13" ht="13.5" customHeight="1" thickBot="1">
      <c r="B5" s="17">
        <f>B4</f>
        <v>45992</v>
      </c>
      <c r="C5" s="72"/>
      <c r="D5" s="74">
        <f>D4</f>
        <v>46022</v>
      </c>
      <c r="E5" s="74"/>
      <c r="H5" s="78">
        <f>22*8</f>
        <v>176</v>
      </c>
      <c r="I5" s="79"/>
      <c r="J5" s="31">
        <f>J44-H5</f>
        <v>-176</v>
      </c>
    </row>
    <row r="6" spans="1:13">
      <c r="C6" s="6"/>
      <c r="E6" s="6"/>
      <c r="H6" s="28"/>
      <c r="I6" s="29"/>
      <c r="J6" s="29"/>
      <c r="K6" s="30"/>
    </row>
    <row r="7" spans="1:13">
      <c r="C7" s="6"/>
      <c r="E7" s="6"/>
      <c r="G7" s="25"/>
      <c r="H7" s="2"/>
      <c r="I7" s="2"/>
      <c r="J7" s="26"/>
    </row>
    <row r="8" spans="1:13" ht="18.75" customHeight="1">
      <c r="A8" s="27" t="s">
        <v>28</v>
      </c>
      <c r="B8" s="38" t="str">
        <f>'Novembro - 2025'!B8</f>
        <v>Helbert William Duarte Teixeira</v>
      </c>
      <c r="C8" s="39"/>
      <c r="D8" s="39"/>
      <c r="E8" s="39"/>
      <c r="F8" s="40"/>
      <c r="G8" s="3"/>
      <c r="H8" s="3"/>
      <c r="I8" s="3"/>
      <c r="J8" s="3"/>
    </row>
    <row r="9" spans="1:13" ht="16.5" customHeight="1">
      <c r="A9" s="27" t="s">
        <v>29</v>
      </c>
      <c r="B9" s="57" t="str">
        <f>'Novembro - 2025'!B9</f>
        <v>x</v>
      </c>
      <c r="C9" s="58"/>
      <c r="D9" s="58"/>
      <c r="E9" s="58"/>
      <c r="F9" s="59"/>
      <c r="G9" s="3"/>
      <c r="H9" s="3"/>
      <c r="I9" s="3"/>
      <c r="J9" s="3"/>
    </row>
    <row r="10" spans="1:13">
      <c r="A10" s="1"/>
      <c r="B10" s="19"/>
      <c r="C10" s="19"/>
      <c r="D10" s="19"/>
      <c r="E10" s="19"/>
      <c r="F10" s="19"/>
      <c r="G10" s="19"/>
      <c r="H10" s="19"/>
      <c r="I10" s="19"/>
      <c r="J10" s="4"/>
    </row>
    <row r="11" spans="1:13" ht="15" customHeight="1"/>
    <row r="12" spans="1:13" ht="18.75" customHeight="1">
      <c r="A12" s="70" t="s">
        <v>31</v>
      </c>
      <c r="B12" s="71"/>
      <c r="C12" s="42" t="s">
        <v>32</v>
      </c>
      <c r="D12" s="21" t="s">
        <v>33</v>
      </c>
      <c r="E12" s="22" t="s">
        <v>32</v>
      </c>
      <c r="F12" s="23" t="s">
        <v>33</v>
      </c>
      <c r="G12" s="42" t="s">
        <v>32</v>
      </c>
      <c r="H12" s="21" t="s">
        <v>33</v>
      </c>
      <c r="I12" s="41"/>
      <c r="J12" s="24" t="s">
        <v>34</v>
      </c>
      <c r="K12" s="24" t="s">
        <v>35</v>
      </c>
      <c r="L12" s="3"/>
      <c r="M12" s="3"/>
    </row>
    <row r="13" spans="1:13">
      <c r="A13" s="20">
        <f>B4</f>
        <v>45992</v>
      </c>
      <c r="B13" s="61" t="str">
        <f>IF(A13=0,0,MID("DOMSegTerQuaQuiSexSAB",3*WEEKDAY(A13)-2,3))</f>
        <v>Seg</v>
      </c>
      <c r="C13" s="8"/>
      <c r="D13" s="8"/>
      <c r="E13" s="9"/>
      <c r="F13" s="9"/>
      <c r="G13" s="9"/>
      <c r="H13" s="9"/>
      <c r="I13" s="8"/>
      <c r="J13" s="5">
        <f>(D13-C13+F13-E13+H13-G13)*24</f>
        <v>0</v>
      </c>
      <c r="K13" s="35"/>
    </row>
    <row r="14" spans="1:13">
      <c r="A14" s="7">
        <f t="shared" ref="A14:A43" si="0">IF(A13&gt;=$D$4,0,IF(A13=0,0,1+A13))</f>
        <v>45993</v>
      </c>
      <c r="B14" s="62" t="str">
        <f t="shared" ref="B14:B42" si="1">IF(A14=0,0,MID("DOMSegTerQuaQuiSexSAB",3*WEEKDAY(A14)-2,3))</f>
        <v>Ter</v>
      </c>
      <c r="C14" s="8"/>
      <c r="D14" s="8"/>
      <c r="E14" s="9"/>
      <c r="F14" s="9"/>
      <c r="G14" s="9"/>
      <c r="H14" s="9"/>
      <c r="I14" s="8"/>
      <c r="J14" s="5">
        <f>(D14-C14+F14-E14+H14-G14)*24</f>
        <v>0</v>
      </c>
      <c r="K14" s="35"/>
      <c r="L14" s="2"/>
      <c r="M14" s="10"/>
    </row>
    <row r="15" spans="1:13">
      <c r="A15" s="7">
        <f t="shared" si="0"/>
        <v>45994</v>
      </c>
      <c r="B15" s="62" t="str">
        <f t="shared" si="1"/>
        <v>Qua</v>
      </c>
      <c r="C15" s="8"/>
      <c r="D15" s="8"/>
      <c r="E15" s="9"/>
      <c r="F15" s="9"/>
      <c r="G15" s="9"/>
      <c r="H15" s="9"/>
      <c r="I15" s="8"/>
      <c r="J15" s="5">
        <f t="shared" ref="J15:J43" si="2">(D15-C15+F15-E15+H15-G15)*24</f>
        <v>0</v>
      </c>
      <c r="K15" s="35"/>
      <c r="L15" s="2"/>
      <c r="M15" s="10"/>
    </row>
    <row r="16" spans="1:13">
      <c r="A16" s="7">
        <f t="shared" si="0"/>
        <v>45995</v>
      </c>
      <c r="B16" s="62" t="str">
        <f t="shared" si="1"/>
        <v>Qui</v>
      </c>
      <c r="C16" s="8"/>
      <c r="D16" s="8"/>
      <c r="E16" s="9"/>
      <c r="F16" s="9"/>
      <c r="G16" s="9"/>
      <c r="H16" s="9"/>
      <c r="I16" s="8"/>
      <c r="J16" s="5">
        <f t="shared" si="2"/>
        <v>0</v>
      </c>
      <c r="K16" s="35"/>
      <c r="L16" s="2"/>
      <c r="M16" s="10"/>
    </row>
    <row r="17" spans="1:13">
      <c r="A17" s="7">
        <f t="shared" si="0"/>
        <v>45996</v>
      </c>
      <c r="B17" s="62" t="str">
        <f t="shared" si="1"/>
        <v>Sex</v>
      </c>
      <c r="C17" s="8"/>
      <c r="D17" s="8"/>
      <c r="E17" s="9"/>
      <c r="F17" s="9"/>
      <c r="G17" s="9"/>
      <c r="H17" s="9"/>
      <c r="I17" s="8"/>
      <c r="J17" s="5">
        <f t="shared" si="2"/>
        <v>0</v>
      </c>
      <c r="K17" s="35"/>
      <c r="L17" s="2"/>
      <c r="M17" s="10"/>
    </row>
    <row r="18" spans="1:13">
      <c r="A18" s="7">
        <f t="shared" si="0"/>
        <v>45997</v>
      </c>
      <c r="B18" s="62" t="str">
        <f t="shared" si="1"/>
        <v>SAB</v>
      </c>
      <c r="C18" s="8"/>
      <c r="D18" s="8"/>
      <c r="E18" s="9"/>
      <c r="F18" s="9"/>
      <c r="G18" s="9"/>
      <c r="H18" s="9"/>
      <c r="I18" s="8"/>
      <c r="J18" s="5">
        <f t="shared" si="2"/>
        <v>0</v>
      </c>
      <c r="K18" s="35"/>
      <c r="L18" s="2"/>
      <c r="M18" s="10"/>
    </row>
    <row r="19" spans="1:13">
      <c r="A19" s="7">
        <f t="shared" si="0"/>
        <v>45998</v>
      </c>
      <c r="B19" s="62" t="str">
        <f t="shared" si="1"/>
        <v>DOM</v>
      </c>
      <c r="C19" s="11"/>
      <c r="D19" s="11"/>
      <c r="E19" s="12"/>
      <c r="F19" s="12"/>
      <c r="G19" s="12"/>
      <c r="H19" s="12"/>
      <c r="I19" s="11"/>
      <c r="J19" s="5">
        <f t="shared" si="2"/>
        <v>0</v>
      </c>
      <c r="K19" s="36"/>
    </row>
    <row r="20" spans="1:13">
      <c r="A20" s="7">
        <f t="shared" si="0"/>
        <v>45999</v>
      </c>
      <c r="B20" s="62" t="str">
        <f t="shared" si="1"/>
        <v>Seg</v>
      </c>
      <c r="C20" s="8"/>
      <c r="D20" s="8"/>
      <c r="E20" s="9"/>
      <c r="F20" s="9"/>
      <c r="G20" s="9"/>
      <c r="H20" s="9"/>
      <c r="I20" s="8"/>
      <c r="J20" s="5">
        <f t="shared" si="2"/>
        <v>0</v>
      </c>
      <c r="K20" s="35"/>
    </row>
    <row r="21" spans="1:13">
      <c r="A21" s="7">
        <f t="shared" si="0"/>
        <v>46000</v>
      </c>
      <c r="B21" s="62" t="str">
        <f t="shared" si="1"/>
        <v>Ter</v>
      </c>
      <c r="C21" s="8"/>
      <c r="D21" s="8"/>
      <c r="E21" s="9"/>
      <c r="F21" s="9"/>
      <c r="G21" s="9"/>
      <c r="H21" s="9"/>
      <c r="I21" s="8"/>
      <c r="J21" s="5">
        <f t="shared" si="2"/>
        <v>0</v>
      </c>
      <c r="K21" s="35"/>
    </row>
    <row r="22" spans="1:13">
      <c r="A22" s="7">
        <f t="shared" si="0"/>
        <v>46001</v>
      </c>
      <c r="B22" s="62" t="str">
        <f t="shared" si="1"/>
        <v>Qua</v>
      </c>
      <c r="C22" s="8"/>
      <c r="D22" s="8"/>
      <c r="E22" s="9"/>
      <c r="F22" s="9"/>
      <c r="G22" s="9"/>
      <c r="H22" s="9"/>
      <c r="I22" s="8"/>
      <c r="J22" s="5">
        <f t="shared" si="2"/>
        <v>0</v>
      </c>
      <c r="K22" s="35"/>
    </row>
    <row r="23" spans="1:13">
      <c r="A23" s="7">
        <f t="shared" si="0"/>
        <v>46002</v>
      </c>
      <c r="B23" s="62" t="str">
        <f t="shared" si="1"/>
        <v>Qui</v>
      </c>
      <c r="C23" s="8"/>
      <c r="D23" s="8"/>
      <c r="E23" s="9"/>
      <c r="F23" s="9"/>
      <c r="G23" s="9"/>
      <c r="H23" s="9"/>
      <c r="I23" s="8"/>
      <c r="J23" s="5">
        <f t="shared" si="2"/>
        <v>0</v>
      </c>
      <c r="K23" s="35"/>
    </row>
    <row r="24" spans="1:13">
      <c r="A24" s="13">
        <f t="shared" si="0"/>
        <v>46003</v>
      </c>
      <c r="B24" s="63" t="str">
        <f t="shared" si="1"/>
        <v>Sex</v>
      </c>
      <c r="C24" s="8"/>
      <c r="D24" s="8"/>
      <c r="E24" s="9"/>
      <c r="F24" s="9"/>
      <c r="G24" s="9"/>
      <c r="H24" s="9"/>
      <c r="I24" s="8"/>
      <c r="J24" s="5">
        <f t="shared" si="2"/>
        <v>0</v>
      </c>
      <c r="K24" s="35"/>
    </row>
    <row r="25" spans="1:13">
      <c r="A25" s="13">
        <f t="shared" si="0"/>
        <v>46004</v>
      </c>
      <c r="B25" s="63" t="str">
        <f t="shared" si="1"/>
        <v>SAB</v>
      </c>
      <c r="C25" s="8"/>
      <c r="D25" s="8"/>
      <c r="E25" s="9"/>
      <c r="F25" s="9"/>
      <c r="G25" s="9"/>
      <c r="H25" s="9"/>
      <c r="I25" s="8"/>
      <c r="J25" s="5">
        <f t="shared" si="2"/>
        <v>0</v>
      </c>
      <c r="K25" s="35"/>
    </row>
    <row r="26" spans="1:13">
      <c r="A26" s="7">
        <f t="shared" si="0"/>
        <v>46005</v>
      </c>
      <c r="B26" s="62" t="str">
        <f t="shared" si="1"/>
        <v>DOM</v>
      </c>
      <c r="C26" s="8"/>
      <c r="D26" s="8"/>
      <c r="E26" s="9"/>
      <c r="F26" s="9"/>
      <c r="G26" s="9"/>
      <c r="H26" s="9"/>
      <c r="I26" s="8"/>
      <c r="J26" s="5">
        <f t="shared" si="2"/>
        <v>0</v>
      </c>
      <c r="K26" s="35"/>
    </row>
    <row r="27" spans="1:13">
      <c r="A27" s="7">
        <f t="shared" si="0"/>
        <v>46006</v>
      </c>
      <c r="B27" s="62" t="str">
        <f t="shared" si="1"/>
        <v>Seg</v>
      </c>
      <c r="C27" s="8"/>
      <c r="D27" s="8"/>
      <c r="E27" s="9"/>
      <c r="F27" s="9"/>
      <c r="G27" s="14"/>
      <c r="H27" s="9"/>
      <c r="I27" s="8"/>
      <c r="J27" s="5">
        <f t="shared" si="2"/>
        <v>0</v>
      </c>
      <c r="K27" s="37"/>
    </row>
    <row r="28" spans="1:13">
      <c r="A28" s="7">
        <f t="shared" si="0"/>
        <v>46007</v>
      </c>
      <c r="B28" s="62" t="str">
        <f t="shared" si="1"/>
        <v>Ter</v>
      </c>
      <c r="C28" s="8"/>
      <c r="D28" s="8"/>
      <c r="E28" s="9"/>
      <c r="F28" s="9"/>
      <c r="G28" s="9"/>
      <c r="H28" s="9"/>
      <c r="I28" s="8"/>
      <c r="J28" s="5">
        <f t="shared" si="2"/>
        <v>0</v>
      </c>
      <c r="K28" s="35"/>
    </row>
    <row r="29" spans="1:13">
      <c r="A29" s="7">
        <f t="shared" si="0"/>
        <v>46008</v>
      </c>
      <c r="B29" s="62" t="str">
        <f t="shared" si="1"/>
        <v>Qua</v>
      </c>
      <c r="C29" s="8"/>
      <c r="D29" s="8"/>
      <c r="E29" s="9"/>
      <c r="F29" s="9"/>
      <c r="G29" s="9"/>
      <c r="H29" s="9"/>
      <c r="I29" s="8"/>
      <c r="J29" s="5">
        <f t="shared" si="2"/>
        <v>0</v>
      </c>
      <c r="K29" s="35"/>
    </row>
    <row r="30" spans="1:13">
      <c r="A30" s="7">
        <f t="shared" si="0"/>
        <v>46009</v>
      </c>
      <c r="B30" s="62" t="str">
        <f t="shared" si="1"/>
        <v>Qui</v>
      </c>
      <c r="C30" s="8"/>
      <c r="D30" s="8"/>
      <c r="E30" s="9"/>
      <c r="F30" s="9"/>
      <c r="G30" s="9"/>
      <c r="H30" s="9"/>
      <c r="I30" s="8"/>
      <c r="J30" s="5">
        <f t="shared" si="2"/>
        <v>0</v>
      </c>
      <c r="K30" s="35"/>
    </row>
    <row r="31" spans="1:13">
      <c r="A31" s="7">
        <f t="shared" si="0"/>
        <v>46010</v>
      </c>
      <c r="B31" s="62" t="str">
        <f t="shared" si="1"/>
        <v>Sex</v>
      </c>
      <c r="C31" s="8"/>
      <c r="D31" s="8"/>
      <c r="E31" s="9"/>
      <c r="F31" s="9"/>
      <c r="G31" s="9"/>
      <c r="H31" s="9"/>
      <c r="I31" s="8"/>
      <c r="J31" s="5">
        <f t="shared" si="2"/>
        <v>0</v>
      </c>
      <c r="K31" s="35"/>
    </row>
    <row r="32" spans="1:13">
      <c r="A32" s="7">
        <f t="shared" si="0"/>
        <v>46011</v>
      </c>
      <c r="B32" s="62" t="str">
        <f t="shared" si="1"/>
        <v>SAB</v>
      </c>
      <c r="C32" s="8"/>
      <c r="D32" s="8"/>
      <c r="E32" s="9"/>
      <c r="F32" s="9"/>
      <c r="G32" s="9"/>
      <c r="H32" s="9"/>
      <c r="I32" s="8"/>
      <c r="J32" s="5">
        <f t="shared" si="2"/>
        <v>0</v>
      </c>
      <c r="K32" s="35"/>
    </row>
    <row r="33" spans="1:11">
      <c r="A33" s="7">
        <f t="shared" si="0"/>
        <v>46012</v>
      </c>
      <c r="B33" s="62" t="str">
        <f t="shared" si="1"/>
        <v>DOM</v>
      </c>
      <c r="C33" s="8"/>
      <c r="D33" s="8"/>
      <c r="E33" s="9"/>
      <c r="F33" s="9"/>
      <c r="G33" s="9"/>
      <c r="H33" s="9"/>
      <c r="I33" s="8"/>
      <c r="J33" s="5">
        <f t="shared" si="2"/>
        <v>0</v>
      </c>
      <c r="K33" s="35"/>
    </row>
    <row r="34" spans="1:11">
      <c r="A34" s="7">
        <f t="shared" si="0"/>
        <v>46013</v>
      </c>
      <c r="B34" s="62" t="str">
        <f t="shared" si="1"/>
        <v>Seg</v>
      </c>
      <c r="C34" s="8"/>
      <c r="D34" s="8"/>
      <c r="E34" s="9"/>
      <c r="F34" s="9"/>
      <c r="G34" s="9"/>
      <c r="H34" s="9"/>
      <c r="I34" s="8"/>
      <c r="J34" s="5">
        <f t="shared" si="2"/>
        <v>0</v>
      </c>
      <c r="K34" s="35"/>
    </row>
    <row r="35" spans="1:11">
      <c r="A35" s="7">
        <f t="shared" si="0"/>
        <v>46014</v>
      </c>
      <c r="B35" s="62" t="str">
        <f t="shared" si="1"/>
        <v>Ter</v>
      </c>
      <c r="C35" s="8"/>
      <c r="D35" s="8"/>
      <c r="E35" s="9"/>
      <c r="F35" s="9"/>
      <c r="G35" s="9"/>
      <c r="H35" s="9"/>
      <c r="I35" s="8"/>
      <c r="J35" s="5">
        <f t="shared" si="2"/>
        <v>0</v>
      </c>
      <c r="K35" s="35"/>
    </row>
    <row r="36" spans="1:11">
      <c r="A36" s="7">
        <f t="shared" si="0"/>
        <v>46015</v>
      </c>
      <c r="B36" s="62" t="str">
        <f t="shared" si="1"/>
        <v>Qua</v>
      </c>
      <c r="C36" s="8"/>
      <c r="D36" s="8"/>
      <c r="E36" s="9"/>
      <c r="F36" s="9"/>
      <c r="G36" s="9"/>
      <c r="H36" s="9"/>
      <c r="I36" s="8"/>
      <c r="J36" s="5">
        <f t="shared" si="2"/>
        <v>0</v>
      </c>
      <c r="K36" s="35"/>
    </row>
    <row r="37" spans="1:11">
      <c r="A37" s="7">
        <f t="shared" si="0"/>
        <v>46016</v>
      </c>
      <c r="B37" s="33" t="str">
        <f t="shared" si="1"/>
        <v>Qui</v>
      </c>
      <c r="C37" s="8"/>
      <c r="D37" s="8"/>
      <c r="E37" s="9"/>
      <c r="F37" s="9"/>
      <c r="G37" s="9"/>
      <c r="H37" s="9"/>
      <c r="I37" s="8"/>
      <c r="J37" s="5">
        <f t="shared" si="2"/>
        <v>0</v>
      </c>
      <c r="K37" s="35"/>
    </row>
    <row r="38" spans="1:11">
      <c r="A38" s="7">
        <f t="shared" si="0"/>
        <v>46017</v>
      </c>
      <c r="B38" s="62" t="str">
        <f t="shared" si="1"/>
        <v>Sex</v>
      </c>
      <c r="C38" s="8"/>
      <c r="D38" s="8"/>
      <c r="E38" s="9"/>
      <c r="F38" s="9"/>
      <c r="G38" s="9"/>
      <c r="H38" s="9"/>
      <c r="I38" s="8"/>
      <c r="J38" s="5">
        <f t="shared" si="2"/>
        <v>0</v>
      </c>
      <c r="K38" s="35"/>
    </row>
    <row r="39" spans="1:11">
      <c r="A39" s="7">
        <f t="shared" si="0"/>
        <v>46018</v>
      </c>
      <c r="B39" s="62" t="str">
        <f t="shared" si="1"/>
        <v>SAB</v>
      </c>
      <c r="C39" s="8"/>
      <c r="D39" s="8"/>
      <c r="E39" s="9"/>
      <c r="F39" s="9"/>
      <c r="G39" s="9"/>
      <c r="H39" s="9"/>
      <c r="I39" s="8"/>
      <c r="J39" s="5">
        <f t="shared" si="2"/>
        <v>0</v>
      </c>
      <c r="K39" s="35"/>
    </row>
    <row r="40" spans="1:11">
      <c r="A40" s="7">
        <f t="shared" si="0"/>
        <v>46019</v>
      </c>
      <c r="B40" s="62" t="str">
        <f t="shared" si="1"/>
        <v>DOM</v>
      </c>
      <c r="C40" s="8"/>
      <c r="D40" s="8"/>
      <c r="E40" s="9"/>
      <c r="F40" s="9"/>
      <c r="G40" s="9"/>
      <c r="H40" s="9"/>
      <c r="I40" s="8"/>
      <c r="J40" s="5">
        <f>(D40-C40+F40-E40+H40-G40)*24</f>
        <v>0</v>
      </c>
      <c r="K40" s="35"/>
    </row>
    <row r="41" spans="1:11">
      <c r="A41" s="7">
        <f t="shared" si="0"/>
        <v>46020</v>
      </c>
      <c r="B41" s="62" t="str">
        <f t="shared" si="1"/>
        <v>Seg</v>
      </c>
      <c r="C41" s="8"/>
      <c r="D41" s="8"/>
      <c r="E41" s="9"/>
      <c r="F41" s="9"/>
      <c r="G41" s="9"/>
      <c r="H41" s="9"/>
      <c r="I41" s="8"/>
      <c r="J41" s="5">
        <f t="shared" si="2"/>
        <v>0</v>
      </c>
      <c r="K41" s="35"/>
    </row>
    <row r="42" spans="1:11">
      <c r="A42" s="7">
        <f t="shared" si="0"/>
        <v>46021</v>
      </c>
      <c r="B42" s="62" t="str">
        <f t="shared" si="1"/>
        <v>Ter</v>
      </c>
      <c r="C42" s="8"/>
      <c r="D42" s="8"/>
      <c r="E42" s="9"/>
      <c r="F42" s="9"/>
      <c r="G42" s="9"/>
      <c r="H42" s="9"/>
      <c r="I42" s="8"/>
      <c r="J42" s="5">
        <f t="shared" si="2"/>
        <v>0</v>
      </c>
      <c r="K42" s="35"/>
    </row>
    <row r="43" spans="1:11" ht="13" thickBot="1">
      <c r="A43" s="7">
        <f t="shared" si="0"/>
        <v>46022</v>
      </c>
      <c r="B43" s="62" t="str">
        <f>IF(A43=0,0,MID("DOMSegTerQuaQuiSexSAB",3*WEEKDAY(A43)-2,3))</f>
        <v>Qua</v>
      </c>
      <c r="C43" s="8"/>
      <c r="D43" s="8"/>
      <c r="E43" s="8"/>
      <c r="F43" s="9"/>
      <c r="G43" s="9"/>
      <c r="H43" s="9"/>
      <c r="I43" s="8"/>
      <c r="J43" s="5">
        <f t="shared" si="2"/>
        <v>0</v>
      </c>
      <c r="K43" s="35"/>
    </row>
    <row r="44" spans="1:11" ht="15" customHeight="1" thickBot="1">
      <c r="C44" s="15"/>
      <c r="D44" s="15"/>
      <c r="E44" s="15"/>
      <c r="F44" s="15"/>
      <c r="G44" s="15"/>
      <c r="H44" s="15"/>
      <c r="I44" s="15"/>
      <c r="J44" s="18">
        <f>SUM(J$13:J$43)</f>
        <v>0</v>
      </c>
    </row>
    <row r="45" spans="1:11" ht="13.25" customHeight="1">
      <c r="C45" s="15"/>
      <c r="D45" s="15"/>
      <c r="E45" s="15"/>
      <c r="F45" s="15"/>
      <c r="G45" s="15"/>
      <c r="H45" s="15"/>
      <c r="I45" s="15"/>
    </row>
  </sheetData>
  <mergeCells count="7">
    <mergeCell ref="A12:B12"/>
    <mergeCell ref="A1:K2"/>
    <mergeCell ref="C4:C5"/>
    <mergeCell ref="D4:E4"/>
    <mergeCell ref="H4:I4"/>
    <mergeCell ref="D5:E5"/>
    <mergeCell ref="H5:I5"/>
  </mergeCells>
  <conditionalFormatting sqref="B13:B43">
    <cfRule type="containsText" dxfId="3" priority="1" operator="containsText" text="DOM">
      <formula>NOT(ISERROR(SEARCH("DOM",B13)))</formula>
    </cfRule>
    <cfRule type="containsText" dxfId="2" priority="2" operator="containsText" text="SAB">
      <formula>NOT(ISERROR(SEARCH("SAB",B13)))</formula>
    </cfRule>
  </conditionalFormatting>
  <conditionalFormatting sqref="G13:I43">
    <cfRule type="expression" dxfId="1" priority="9" stopIfTrue="1">
      <formula>AND(#REF!=0,0=#REF!)</formula>
    </cfRule>
  </conditionalFormatting>
  <conditionalFormatting sqref="K13:K43">
    <cfRule type="expression" dxfId="0" priority="3" stopIfTrue="1">
      <formula>AND(#REF!=0,0=#REF!)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1a81bb-a403-4c71-8075-1348523e47e2" xsi:nil="true"/>
    <lcf76f155ced4ddcb4097134ff3c332f xmlns="038b121b-2470-4bb0-9042-bf1cfe8bf62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2FC13A4263CC47B0E901AA76DEA3C1" ma:contentTypeVersion="12" ma:contentTypeDescription="Crie um novo documento." ma:contentTypeScope="" ma:versionID="98a62168a7f2677bb971add2d4ddb24c">
  <xsd:schema xmlns:xsd="http://www.w3.org/2001/XMLSchema" xmlns:xs="http://www.w3.org/2001/XMLSchema" xmlns:p="http://schemas.microsoft.com/office/2006/metadata/properties" xmlns:ns2="038b121b-2470-4bb0-9042-bf1cfe8bf62e" xmlns:ns3="d31a81bb-a403-4c71-8075-1348523e47e2" targetNamespace="http://schemas.microsoft.com/office/2006/metadata/properties" ma:root="true" ma:fieldsID="6c075993fbdce69c80c4aa4979a811e8" ns2:_="" ns3:_="">
    <xsd:import namespace="038b121b-2470-4bb0-9042-bf1cfe8bf62e"/>
    <xsd:import namespace="d31a81bb-a403-4c71-8075-1348523e47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b121b-2470-4bb0-9042-bf1cfe8bf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133fb2-a729-4c2d-a7e2-4934c354cc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a81bb-a403-4c71-8075-1348523e47e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5bc6e3-e5f9-4c15-a0ee-654cded732b2}" ma:internalName="TaxCatchAll" ma:showField="CatchAllData" ma:web="d31a81bb-a403-4c71-8075-1348523e47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A3ED1-B28F-40E1-922B-D30A9F141F6E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038b121b-2470-4bb0-9042-bf1cfe8bf62e"/>
    <ds:schemaRef ds:uri="http://schemas.microsoft.com/office/2006/documentManagement/types"/>
    <ds:schemaRef ds:uri="http://purl.org/dc/terms/"/>
    <ds:schemaRef ds:uri="http://schemas.microsoft.com/office/infopath/2007/PartnerControls"/>
    <ds:schemaRef ds:uri="d31a81bb-a403-4c71-8075-1348523e47e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FC1B96-8F15-4CCB-9051-A1832F68B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8b121b-2470-4bb0-9042-bf1cfe8bf62e"/>
    <ds:schemaRef ds:uri="d31a81bb-a403-4c71-8075-1348523e47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2D3675-8065-461F-8C10-E1DD0502F1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Sumário</vt:lpstr>
      <vt:lpstr>Janeiro - 2025</vt:lpstr>
      <vt:lpstr>Fevereiro - 2025</vt:lpstr>
      <vt:lpstr>Março - 2025</vt:lpstr>
      <vt:lpstr>Abril - 2025</vt:lpstr>
      <vt:lpstr>Maio - 2025</vt:lpstr>
      <vt:lpstr>Junho - 2025</vt:lpstr>
      <vt:lpstr>Julho - 2025</vt:lpstr>
      <vt:lpstr>Agosto - 2025</vt:lpstr>
      <vt:lpstr>Setembro - 2025</vt:lpstr>
      <vt:lpstr>Outubro - 2025</vt:lpstr>
      <vt:lpstr>Novembro - 2025</vt:lpstr>
      <vt:lpstr>Dezembro - 2025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Duarte</cp:lastModifiedBy>
  <cp:revision/>
  <dcterms:created xsi:type="dcterms:W3CDTF">2019-01-04T18:30:14Z</dcterms:created>
  <dcterms:modified xsi:type="dcterms:W3CDTF">2025-03-26T12:26:28Z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0x0101008D2FC13A4263CC47B0E901AA76DEA3C1</vt:lpwstr>
  </property>
  <property fmtid="{D5CDD505-2E9C-101B-9397-08002B2CF9AE}" pid="3" name="Order">
    <vt:r8>402800</vt:r8>
  </property>
  <property fmtid="{D5CDD505-2E9C-101B-9397-08002B2CF9AE}" pid="4" name="MediaServiceImageTags">
    <vt:lpwstr/>
  </property>
</Properties>
</file>